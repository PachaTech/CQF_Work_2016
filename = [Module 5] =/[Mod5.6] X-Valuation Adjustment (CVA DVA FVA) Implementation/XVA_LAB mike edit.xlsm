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6] X-Valuation Adjustment (CVA DVA FVA) Implementation/CQF_June_2016_M5S6_Excel.zip Folder/"/>
    </mc:Choice>
  </mc:AlternateContent>
  <bookViews>
    <workbookView xWindow="2220" yWindow="460" windowWidth="25560" windowHeight="16860" tabRatio="654" activeTab="2"/>
  </bookViews>
  <sheets>
    <sheet name="CVA_STATIC" sheetId="7" r:id="rId1"/>
    <sheet name="STATIC_CORRECTED" sheetId="10" r:id="rId2"/>
    <sheet name="CVA_DYNAMIC EDIT" sheetId="11" r:id="rId3"/>
    <sheet name="CVA_DYNAMIC" sheetId="9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8" i="11" l="1"/>
  <c r="N38" i="11"/>
  <c r="N50" i="11"/>
  <c r="O50" i="11"/>
  <c r="N35" i="11"/>
  <c r="N39" i="11"/>
  <c r="H6" i="11"/>
  <c r="N6" i="11"/>
  <c r="N36" i="11"/>
  <c r="N7" i="11"/>
  <c r="N37" i="11"/>
  <c r="N40" i="11"/>
  <c r="O40" i="11"/>
  <c r="N34" i="11"/>
  <c r="M25" i="11"/>
  <c r="M29" i="11"/>
  <c r="G6" i="11"/>
  <c r="M28" i="11"/>
  <c r="M6" i="11"/>
  <c r="M26" i="11"/>
  <c r="M7" i="11"/>
  <c r="M27" i="11"/>
  <c r="M30" i="11"/>
  <c r="N25" i="11"/>
  <c r="N29" i="11"/>
  <c r="N26" i="11"/>
  <c r="N27" i="11"/>
  <c r="N30" i="11"/>
  <c r="O30" i="11"/>
  <c r="F29" i="11"/>
  <c r="E29" i="11"/>
  <c r="D29" i="11"/>
  <c r="L15" i="11"/>
  <c r="L19" i="11"/>
  <c r="F6" i="11"/>
  <c r="L18" i="11"/>
  <c r="L6" i="11"/>
  <c r="L16" i="11"/>
  <c r="L7" i="11"/>
  <c r="L17" i="11"/>
  <c r="L20" i="11"/>
  <c r="M15" i="11"/>
  <c r="M19" i="11"/>
  <c r="M18" i="11"/>
  <c r="M16" i="11"/>
  <c r="M17" i="11"/>
  <c r="M20" i="11"/>
  <c r="N15" i="11"/>
  <c r="N19" i="11"/>
  <c r="N18" i="11"/>
  <c r="N16" i="11"/>
  <c r="N17" i="11"/>
  <c r="N20" i="11"/>
  <c r="O20" i="11"/>
  <c r="C29" i="11"/>
  <c r="K5" i="11"/>
  <c r="K8" i="11"/>
  <c r="E6" i="11"/>
  <c r="K6" i="11"/>
  <c r="K7" i="11"/>
  <c r="K10" i="11"/>
  <c r="L5" i="11"/>
  <c r="F7" i="11"/>
  <c r="L8" i="11"/>
  <c r="L10" i="11"/>
  <c r="M5" i="11"/>
  <c r="G7" i="11"/>
  <c r="M8" i="11"/>
  <c r="M10" i="11"/>
  <c r="N5" i="11"/>
  <c r="H7" i="11"/>
  <c r="N8" i="11"/>
  <c r="N10" i="11"/>
  <c r="O10" i="11"/>
  <c r="B29" i="11"/>
  <c r="N24" i="11"/>
  <c r="M24" i="11"/>
  <c r="B18" i="11"/>
  <c r="B19" i="11"/>
  <c r="B20" i="11"/>
  <c r="E8" i="11"/>
  <c r="B21" i="11"/>
  <c r="B22" i="11"/>
  <c r="C18" i="11"/>
  <c r="C19" i="11"/>
  <c r="C20" i="11"/>
  <c r="F8" i="11"/>
  <c r="C21" i="11"/>
  <c r="C22" i="11"/>
  <c r="D18" i="11"/>
  <c r="D19" i="11"/>
  <c r="D20" i="11"/>
  <c r="G8" i="11"/>
  <c r="D21" i="11"/>
  <c r="D22" i="11"/>
  <c r="E18" i="11"/>
  <c r="E19" i="11"/>
  <c r="E20" i="11"/>
  <c r="H8" i="11"/>
  <c r="E21" i="11"/>
  <c r="E22" i="11"/>
  <c r="B23" i="11"/>
  <c r="N14" i="11"/>
  <c r="M14" i="11"/>
  <c r="L14" i="11"/>
  <c r="C18" i="10"/>
  <c r="B18" i="10"/>
  <c r="L18" i="10"/>
  <c r="E29" i="10"/>
  <c r="N50" i="10"/>
  <c r="N40" i="10"/>
  <c r="N30" i="10"/>
  <c r="M30" i="10"/>
  <c r="M20" i="10"/>
  <c r="N20" i="10"/>
  <c r="L20" i="10"/>
  <c r="L10" i="10"/>
  <c r="N28" i="10"/>
  <c r="M28" i="10"/>
  <c r="M18" i="10"/>
  <c r="N18" i="10"/>
  <c r="O40" i="10"/>
  <c r="O50" i="10"/>
  <c r="F29" i="10"/>
  <c r="E18" i="10"/>
  <c r="N35" i="10"/>
  <c r="O20" i="10"/>
  <c r="C29" i="10"/>
  <c r="B22" i="10"/>
  <c r="O30" i="10"/>
  <c r="D29" i="10"/>
  <c r="C22" i="10"/>
  <c r="D18" i="10"/>
  <c r="D22" i="10"/>
  <c r="E22" i="10"/>
  <c r="B23" i="10"/>
  <c r="C21" i="10"/>
  <c r="D21" i="10"/>
  <c r="E21" i="10"/>
  <c r="B21" i="10"/>
  <c r="C20" i="10"/>
  <c r="D20" i="10"/>
  <c r="E20" i="10"/>
  <c r="B20" i="10"/>
  <c r="C19" i="10"/>
  <c r="D19" i="10"/>
  <c r="E19" i="10"/>
  <c r="B19" i="10"/>
  <c r="B29" i="10"/>
  <c r="N5" i="10"/>
  <c r="H7" i="10"/>
  <c r="N8" i="10"/>
  <c r="H6" i="10"/>
  <c r="N6" i="10"/>
  <c r="N7" i="10"/>
  <c r="N10" i="10"/>
  <c r="M5" i="10"/>
  <c r="G7" i="10"/>
  <c r="M8" i="10"/>
  <c r="G6" i="10"/>
  <c r="M6" i="10"/>
  <c r="M7" i="10"/>
  <c r="M10" i="10"/>
  <c r="L5" i="10"/>
  <c r="K5" i="10"/>
  <c r="M15" i="10"/>
  <c r="N15" i="10"/>
  <c r="L15" i="10"/>
  <c r="N25" i="10"/>
  <c r="M25" i="10"/>
  <c r="F6" i="10"/>
  <c r="F7" i="10"/>
  <c r="L8" i="10"/>
  <c r="L6" i="10"/>
  <c r="L7" i="10"/>
  <c r="K8" i="10"/>
  <c r="E6" i="10"/>
  <c r="K6" i="10"/>
  <c r="K7" i="10"/>
  <c r="K10" i="10"/>
  <c r="O10" i="10"/>
  <c r="G8" i="10"/>
  <c r="H8" i="10"/>
  <c r="F8" i="10"/>
  <c r="E8" i="10"/>
  <c r="N38" i="10"/>
  <c r="N39" i="10"/>
  <c r="N37" i="10"/>
  <c r="N36" i="10"/>
  <c r="N34" i="10"/>
  <c r="N29" i="10"/>
  <c r="M29" i="10"/>
  <c r="N27" i="10"/>
  <c r="M27" i="10"/>
  <c r="N26" i="10"/>
  <c r="M26" i="10"/>
  <c r="N24" i="10"/>
  <c r="M24" i="10"/>
  <c r="M17" i="10"/>
  <c r="N17" i="10"/>
  <c r="L17" i="10"/>
  <c r="M16" i="10"/>
  <c r="N16" i="10"/>
  <c r="L16" i="10"/>
  <c r="L19" i="10"/>
  <c r="M19" i="10"/>
  <c r="N19" i="10"/>
  <c r="M14" i="10"/>
  <c r="N14" i="10"/>
  <c r="L14" i="10"/>
  <c r="B23" i="7"/>
  <c r="C22" i="7"/>
  <c r="D22" i="7"/>
  <c r="E22" i="7"/>
  <c r="B22" i="7"/>
  <c r="C21" i="7"/>
  <c r="D21" i="7"/>
  <c r="E21" i="7"/>
  <c r="B21" i="7"/>
  <c r="D20" i="7"/>
  <c r="E20" i="7"/>
  <c r="C20" i="7"/>
  <c r="B20" i="7"/>
  <c r="C19" i="7"/>
  <c r="D19" i="7"/>
  <c r="E19" i="7"/>
  <c r="B19" i="7"/>
  <c r="C18" i="7"/>
  <c r="D18" i="7"/>
  <c r="E18" i="7"/>
  <c r="B18" i="7"/>
  <c r="K5" i="7"/>
  <c r="E7" i="7"/>
  <c r="K8" i="7"/>
  <c r="E6" i="7"/>
  <c r="K6" i="7"/>
  <c r="K7" i="7"/>
  <c r="K10" i="7"/>
  <c r="L5" i="7"/>
  <c r="F7" i="7"/>
  <c r="L8" i="7"/>
  <c r="F6" i="7"/>
  <c r="L6" i="7"/>
  <c r="L7" i="7"/>
  <c r="L10" i="7"/>
  <c r="M5" i="7"/>
  <c r="G7" i="7"/>
  <c r="M8" i="7"/>
  <c r="G6" i="7"/>
  <c r="M6" i="7"/>
  <c r="M7" i="7"/>
  <c r="M10" i="7"/>
  <c r="N5" i="7"/>
  <c r="H7" i="7"/>
  <c r="N8" i="7"/>
  <c r="H6" i="7"/>
  <c r="N6" i="7"/>
  <c r="N7" i="7"/>
  <c r="N10" i="7"/>
  <c r="J13" i="7"/>
  <c r="J22" i="7"/>
  <c r="K14" i="7"/>
  <c r="K22" i="7"/>
  <c r="N22" i="7"/>
  <c r="M16" i="7"/>
  <c r="M22" i="7"/>
  <c r="L15" i="7"/>
  <c r="L22" i="7"/>
  <c r="F8" i="7"/>
  <c r="G8" i="7"/>
  <c r="H8" i="7"/>
  <c r="E8" i="7"/>
  <c r="H5" i="9"/>
  <c r="G5" i="9"/>
  <c r="F5" i="9"/>
  <c r="E5" i="9"/>
  <c r="E6" i="9"/>
  <c r="F6" i="9"/>
  <c r="G6" i="9"/>
  <c r="H6" i="9"/>
  <c r="B23" i="9"/>
</calcChain>
</file>

<file path=xl/sharedStrings.xml><?xml version="1.0" encoding="utf-8"?>
<sst xmlns="http://schemas.openxmlformats.org/spreadsheetml/2006/main" count="320" uniqueCount="63">
  <si>
    <t xml:space="preserve">T = </t>
  </si>
  <si>
    <t xml:space="preserve">dt = </t>
  </si>
  <si>
    <t>N =</t>
  </si>
  <si>
    <t>T0</t>
  </si>
  <si>
    <t>T1</t>
  </si>
  <si>
    <t>T2</t>
  </si>
  <si>
    <t>T3</t>
  </si>
  <si>
    <t>T4</t>
  </si>
  <si>
    <t>SPOT</t>
  </si>
  <si>
    <t>FWD</t>
  </si>
  <si>
    <t>DF</t>
  </si>
  <si>
    <t>LAMBDA =</t>
  </si>
  <si>
    <t>REC RATE =</t>
  </si>
  <si>
    <t>CVA</t>
  </si>
  <si>
    <t>(1-R)</t>
  </si>
  <si>
    <t>12M</t>
  </si>
  <si>
    <t>N=</t>
  </si>
  <si>
    <t>FWD=</t>
  </si>
  <si>
    <t>DF=</t>
  </si>
  <si>
    <t>dt=</t>
  </si>
  <si>
    <t>MTM(T0)</t>
  </si>
  <si>
    <t>MTM(T1)</t>
  </si>
  <si>
    <t>MTM(T2)</t>
  </si>
  <si>
    <t>MTM(T3)</t>
  </si>
  <si>
    <t>MTM(T4)</t>
  </si>
  <si>
    <t>T0-T1</t>
  </si>
  <si>
    <t>T1-T2</t>
  </si>
  <si>
    <t>T2-T3</t>
  </si>
  <si>
    <t>T3-T4</t>
  </si>
  <si>
    <t>EXPOSURE</t>
  </si>
  <si>
    <t>PD</t>
  </si>
  <si>
    <t>CVA_PERIODO</t>
  </si>
  <si>
    <t>T-YIELD3M</t>
  </si>
  <si>
    <t>FAKE_MC</t>
  </si>
  <si>
    <t>FIXED</t>
  </si>
  <si>
    <t>STEP 1: INPUTS</t>
  </si>
  <si>
    <t>STEP 2: FORWARDS + DISCOUNT FACTORS</t>
  </si>
  <si>
    <t>STEP 3: SWAP MARK-TO-MARKET EVOLUTION</t>
  </si>
  <si>
    <t>STEP 4: COMPUTE EXPOSURE</t>
  </si>
  <si>
    <t>STEP 5: COMPUTE CVA</t>
  </si>
  <si>
    <t>FLOATING</t>
  </si>
  <si>
    <t>PAYMNT</t>
  </si>
  <si>
    <t>FWD bps</t>
  </si>
  <si>
    <t>FWD rate</t>
  </si>
  <si>
    <t>3M</t>
  </si>
  <si>
    <t xml:space="preserve">T-US YIELD </t>
  </si>
  <si>
    <t>Notional N=</t>
  </si>
  <si>
    <t>PAYMENT</t>
  </si>
  <si>
    <t>FIXED rate bps</t>
  </si>
  <si>
    <t>FWD rate bps</t>
  </si>
  <si>
    <t>SPOT bps</t>
  </si>
  <si>
    <t>(1-Rec Rate)</t>
  </si>
  <si>
    <t>T0_T1</t>
  </si>
  <si>
    <t>T1_T2</t>
  </si>
  <si>
    <t>T2_T3</t>
  </si>
  <si>
    <t>T3_T4</t>
  </si>
  <si>
    <t xml:space="preserve"> EXPOSURE </t>
  </si>
  <si>
    <t xml:space="preserve"> (1-Rec Rate) </t>
  </si>
  <si>
    <t xml:space="preserve"> DF </t>
  </si>
  <si>
    <t xml:space="preserve"> PD </t>
  </si>
  <si>
    <t xml:space="preserve"> CVA_PERIODO </t>
  </si>
  <si>
    <t xml:space="preserve"> CVA </t>
  </si>
  <si>
    <t>tstep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</si>
</sst>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-* #,##0.0000_-;\-* #,##0.0000_-;_-* &quot;-&quot;??_-;_-@_-"/>
    <numFmt numFmtId="167" formatCode="_-[$$-409]* #,##0.00_ ;_-[$$-409]* \-#,##0.00\ ;_-[$$-409]* &quot;-&quot;??_ ;_-@_ "/>
    <numFmt numFmtId="168" formatCode="0.000%"/>
    <numFmt numFmtId="196" formatCode="0.000000000"/>
    <numFmt numFmtId="197" formatCode="0.00000000"/>
    <numFmt numFmtId="198" formatCode="0.0000000"/>
    <numFmt numFmtId="199" formatCode="0.000000"/>
    <numFmt numFmtId="205" formatCode="_-* #,##0.000000_-;\-* #,##0.000000_-;_-* &quot;-&quot;??_-;_-@_-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9" fontId="4" fillId="4" borderId="3" xfId="0" applyNumberFormat="1" applyFont="1" applyFill="1" applyBorder="1" applyAlignment="1">
      <alignment horizontal="center" vertical="center"/>
    </xf>
    <xf numFmtId="9" fontId="4" fillId="4" borderId="4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3" fillId="2" borderId="9" xfId="0" applyFont="1" applyFill="1" applyBorder="1"/>
    <xf numFmtId="0" fontId="3" fillId="2" borderId="10" xfId="0" applyFont="1" applyFill="1" applyBorder="1"/>
    <xf numFmtId="0" fontId="5" fillId="3" borderId="8" xfId="0" applyFont="1" applyFill="1" applyBorder="1" applyAlignment="1">
      <alignment horizontal="center" vertical="center"/>
    </xf>
    <xf numFmtId="9" fontId="5" fillId="3" borderId="8" xfId="3" applyFont="1" applyFill="1" applyBorder="1" applyAlignment="1">
      <alignment horizontal="center" vertical="center"/>
    </xf>
    <xf numFmtId="167" fontId="5" fillId="3" borderId="8" xfId="2" applyNumberFormat="1" applyFont="1" applyFill="1" applyBorder="1" applyAlignment="1">
      <alignment horizontal="center" vertical="center"/>
    </xf>
    <xf numFmtId="10" fontId="5" fillId="3" borderId="8" xfId="3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7" fontId="5" fillId="3" borderId="14" xfId="3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67" fontId="5" fillId="5" borderId="1" xfId="3" applyNumberFormat="1" applyFont="1" applyFill="1" applyBorder="1" applyAlignment="1">
      <alignment horizontal="center" vertical="center"/>
    </xf>
    <xf numFmtId="10" fontId="5" fillId="5" borderId="1" xfId="3" applyNumberFormat="1" applyFont="1" applyFill="1" applyBorder="1" applyAlignment="1">
      <alignment horizontal="center" vertical="center"/>
    </xf>
    <xf numFmtId="166" fontId="5" fillId="5" borderId="1" xfId="1" applyNumberFormat="1" applyFont="1" applyFill="1" applyBorder="1" applyAlignment="1">
      <alignment horizontal="center" vertical="center"/>
    </xf>
    <xf numFmtId="164" fontId="5" fillId="5" borderId="1" xfId="1" applyNumberFormat="1" applyFont="1" applyFill="1" applyBorder="1" applyAlignment="1">
      <alignment horizontal="center" vertical="center"/>
    </xf>
    <xf numFmtId="10" fontId="5" fillId="5" borderId="3" xfId="3" applyNumberFormat="1" applyFont="1" applyFill="1" applyBorder="1" applyAlignment="1">
      <alignment horizontal="center" vertical="center"/>
    </xf>
    <xf numFmtId="10" fontId="5" fillId="5" borderId="4" xfId="3" applyNumberFormat="1" applyFont="1" applyFill="1" applyBorder="1" applyAlignment="1">
      <alignment horizontal="center" vertical="center"/>
    </xf>
    <xf numFmtId="166" fontId="5" fillId="5" borderId="3" xfId="1" applyNumberFormat="1" applyFont="1" applyFill="1" applyBorder="1" applyAlignment="1">
      <alignment horizontal="center" vertical="center"/>
    </xf>
    <xf numFmtId="166" fontId="5" fillId="5" borderId="4" xfId="1" applyNumberFormat="1" applyFont="1" applyFill="1" applyBorder="1" applyAlignment="1">
      <alignment horizontal="center" vertical="center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3" applyNumberFormat="1" applyFont="1" applyFill="1" applyBorder="1" applyAlignment="1">
      <alignment horizontal="center" vertical="center"/>
    </xf>
    <xf numFmtId="165" fontId="5" fillId="5" borderId="1" xfId="2" applyFont="1" applyFill="1" applyBorder="1" applyAlignment="1">
      <alignment horizontal="center" vertical="center"/>
    </xf>
    <xf numFmtId="167" fontId="5" fillId="3" borderId="15" xfId="0" applyNumberFormat="1" applyFont="1" applyFill="1" applyBorder="1" applyAlignment="1">
      <alignment horizontal="center" vertical="center"/>
    </xf>
    <xf numFmtId="165" fontId="5" fillId="5" borderId="16" xfId="2" applyFont="1" applyFill="1" applyBorder="1" applyAlignment="1">
      <alignment horizontal="center" vertical="center"/>
    </xf>
    <xf numFmtId="165" fontId="5" fillId="6" borderId="8" xfId="0" applyNumberFormat="1" applyFont="1" applyFill="1" applyBorder="1"/>
    <xf numFmtId="10" fontId="5" fillId="7" borderId="3" xfId="3" applyNumberFormat="1" applyFont="1" applyFill="1" applyBorder="1" applyAlignment="1">
      <alignment horizontal="center" vertical="center"/>
    </xf>
    <xf numFmtId="10" fontId="5" fillId="7" borderId="4" xfId="3" applyNumberFormat="1" applyFont="1" applyFill="1" applyBorder="1" applyAlignment="1">
      <alignment horizontal="center" vertical="center"/>
    </xf>
    <xf numFmtId="168" fontId="5" fillId="7" borderId="3" xfId="3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10" fontId="1" fillId="5" borderId="19" xfId="3" applyNumberFormat="1" applyFont="1" applyFill="1" applyBorder="1" applyAlignment="1">
      <alignment horizontal="center" vertical="center"/>
    </xf>
    <xf numFmtId="10" fontId="1" fillId="5" borderId="1" xfId="3" applyNumberFormat="1" applyFont="1" applyFill="1" applyBorder="1" applyAlignment="1">
      <alignment horizontal="center" vertical="center"/>
    </xf>
    <xf numFmtId="10" fontId="1" fillId="8" borderId="1" xfId="3" applyNumberFormat="1" applyFont="1" applyFill="1" applyBorder="1" applyAlignment="1">
      <alignment horizontal="center" vertical="center"/>
    </xf>
    <xf numFmtId="0" fontId="0" fillId="8" borderId="0" xfId="0" applyFill="1"/>
    <xf numFmtId="168" fontId="5" fillId="5" borderId="1" xfId="3" applyNumberFormat="1" applyFont="1" applyFill="1" applyBorder="1" applyAlignment="1">
      <alignment horizontal="center" vertical="center"/>
    </xf>
    <xf numFmtId="168" fontId="1" fillId="10" borderId="1" xfId="3" applyNumberFormat="1" applyFont="1" applyFill="1" applyBorder="1" applyAlignment="1">
      <alignment horizontal="center" vertical="center"/>
    </xf>
    <xf numFmtId="166" fontId="1" fillId="9" borderId="1" xfId="1" applyNumberFormat="1" applyFont="1" applyFill="1" applyBorder="1" applyAlignment="1">
      <alignment horizontal="left" vertical="center"/>
    </xf>
    <xf numFmtId="10" fontId="5" fillId="11" borderId="8" xfId="3" applyNumberFormat="1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167" fontId="5" fillId="11" borderId="8" xfId="2" applyNumberFormat="1" applyFont="1" applyFill="1" applyBorder="1" applyAlignment="1">
      <alignment horizontal="center" vertical="center"/>
    </xf>
    <xf numFmtId="9" fontId="5" fillId="11" borderId="8" xfId="3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4" fontId="7" fillId="5" borderId="1" xfId="1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167" fontId="7" fillId="3" borderId="14" xfId="3" applyNumberFormat="1" applyFont="1" applyFill="1" applyBorder="1" applyAlignment="1">
      <alignment horizontal="center" vertical="center"/>
    </xf>
    <xf numFmtId="167" fontId="6" fillId="5" borderId="1" xfId="3" applyNumberFormat="1" applyFont="1" applyFill="1" applyBorder="1" applyAlignment="1">
      <alignment horizontal="center" vertical="center"/>
    </xf>
    <xf numFmtId="10" fontId="6" fillId="5" borderId="1" xfId="3" applyNumberFormat="1" applyFont="1" applyFill="1" applyBorder="1" applyAlignment="1">
      <alignment horizontal="center" vertical="center"/>
    </xf>
    <xf numFmtId="166" fontId="6" fillId="5" borderId="1" xfId="1" applyNumberFormat="1" applyFont="1" applyFill="1" applyBorder="1" applyAlignment="1">
      <alignment horizontal="right" vertical="center"/>
    </xf>
    <xf numFmtId="167" fontId="7" fillId="3" borderId="1" xfId="0" applyNumberFormat="1" applyFont="1" applyFill="1" applyBorder="1" applyAlignment="1">
      <alignment horizontal="center" vertical="center"/>
    </xf>
    <xf numFmtId="0" fontId="6" fillId="0" borderId="0" xfId="0" applyFont="1"/>
    <xf numFmtId="9" fontId="5" fillId="5" borderId="1" xfId="3" applyFont="1" applyFill="1" applyBorder="1" applyAlignment="1">
      <alignment horizontal="center" vertical="center"/>
    </xf>
    <xf numFmtId="167" fontId="0" fillId="10" borderId="1" xfId="0" applyNumberFormat="1" applyFont="1" applyFill="1" applyBorder="1" applyAlignment="1">
      <alignment horizontal="center" vertical="center"/>
    </xf>
    <xf numFmtId="199" fontId="5" fillId="5" borderId="1" xfId="3" applyNumberFormat="1" applyFont="1" applyFill="1" applyBorder="1" applyAlignment="1">
      <alignment horizontal="center" vertical="center"/>
    </xf>
    <xf numFmtId="166" fontId="5" fillId="5" borderId="1" xfId="3" applyNumberFormat="1" applyFont="1" applyFill="1" applyBorder="1" applyAlignment="1">
      <alignment horizontal="center" vertical="center"/>
    </xf>
    <xf numFmtId="44" fontId="5" fillId="6" borderId="21" xfId="0" applyNumberFormat="1" applyFont="1" applyFill="1" applyBorder="1"/>
    <xf numFmtId="44" fontId="5" fillId="10" borderId="1" xfId="2" applyNumberFormat="1" applyFont="1" applyFill="1" applyBorder="1" applyAlignment="1">
      <alignment horizontal="center" vertical="center"/>
    </xf>
    <xf numFmtId="0" fontId="0" fillId="0" borderId="0" xfId="0" applyFont="1"/>
    <xf numFmtId="10" fontId="11" fillId="16" borderId="24" xfId="0" applyNumberFormat="1" applyFont="1" applyFill="1" applyBorder="1" applyAlignment="1">
      <alignment horizontal="center" vertical="center"/>
    </xf>
    <xf numFmtId="166" fontId="11" fillId="16" borderId="24" xfId="0" applyNumberFormat="1" applyFont="1" applyFill="1" applyBorder="1" applyAlignment="1">
      <alignment horizontal="right" vertical="center"/>
    </xf>
    <xf numFmtId="0" fontId="13" fillId="13" borderId="2" xfId="0" applyFont="1" applyFill="1" applyBorder="1" applyAlignment="1">
      <alignment horizontal="center" vertical="center"/>
    </xf>
    <xf numFmtId="167" fontId="12" fillId="15" borderId="1" xfId="0" applyNumberFormat="1" applyFont="1" applyFill="1" applyBorder="1" applyAlignment="1">
      <alignment horizontal="center" vertical="center"/>
    </xf>
    <xf numFmtId="0" fontId="11" fillId="0" borderId="0" xfId="0" applyFont="1"/>
    <xf numFmtId="0" fontId="13" fillId="12" borderId="9" xfId="0" applyFont="1" applyFill="1" applyBorder="1"/>
    <xf numFmtId="0" fontId="13" fillId="12" borderId="10" xfId="0" applyFont="1" applyFill="1" applyBorder="1"/>
    <xf numFmtId="10" fontId="12" fillId="14" borderId="8" xfId="0" applyNumberFormat="1" applyFont="1" applyFill="1" applyBorder="1" applyAlignment="1">
      <alignment horizontal="center" vertical="center"/>
    </xf>
    <xf numFmtId="9" fontId="14" fillId="13" borderId="3" xfId="0" applyNumberFormat="1" applyFont="1" applyFill="1" applyBorder="1" applyAlignment="1">
      <alignment horizontal="center" vertical="center"/>
    </xf>
    <xf numFmtId="9" fontId="14" fillId="13" borderId="4" xfId="0" applyNumberFormat="1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2" fillId="14" borderId="21" xfId="0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2" fillId="15" borderId="20" xfId="0" applyFont="1" applyFill="1" applyBorder="1" applyAlignment="1">
      <alignment horizontal="center" vertical="center"/>
    </xf>
    <xf numFmtId="10" fontId="11" fillId="16" borderId="19" xfId="0" applyNumberFormat="1" applyFont="1" applyFill="1" applyBorder="1" applyAlignment="1">
      <alignment horizontal="center" vertical="center"/>
    </xf>
    <xf numFmtId="10" fontId="11" fillId="17" borderId="24" xfId="0" applyNumberFormat="1" applyFont="1" applyFill="1" applyBorder="1" applyAlignment="1">
      <alignment horizontal="center" vertical="center"/>
    </xf>
    <xf numFmtId="167" fontId="12" fillId="14" borderId="21" xfId="0" applyNumberFormat="1" applyFont="1" applyFill="1" applyBorder="1" applyAlignment="1">
      <alignment horizontal="center" vertical="center"/>
    </xf>
    <xf numFmtId="9" fontId="12" fillId="14" borderId="21" xfId="0" applyNumberFormat="1" applyFont="1" applyFill="1" applyBorder="1" applyAlignment="1">
      <alignment horizontal="center" vertical="center"/>
    </xf>
    <xf numFmtId="0" fontId="11" fillId="17" borderId="0" xfId="0" applyFont="1" applyFill="1"/>
    <xf numFmtId="167" fontId="11" fillId="18" borderId="25" xfId="0" applyNumberFormat="1" applyFont="1" applyFill="1" applyBorder="1" applyAlignment="1">
      <alignment horizontal="center" vertical="center"/>
    </xf>
    <xf numFmtId="167" fontId="12" fillId="15" borderId="19" xfId="0" applyNumberFormat="1" applyFont="1" applyFill="1" applyBorder="1" applyAlignment="1">
      <alignment horizontal="center" vertical="center"/>
    </xf>
    <xf numFmtId="9" fontId="12" fillId="16" borderId="24" xfId="0" applyNumberFormat="1" applyFont="1" applyFill="1" applyBorder="1" applyAlignment="1">
      <alignment horizontal="center" vertical="center"/>
    </xf>
    <xf numFmtId="199" fontId="12" fillId="16" borderId="24" xfId="0" applyNumberFormat="1" applyFont="1" applyFill="1" applyBorder="1" applyAlignment="1">
      <alignment horizontal="center" vertical="center"/>
    </xf>
    <xf numFmtId="168" fontId="12" fillId="16" borderId="24" xfId="0" applyNumberFormat="1" applyFont="1" applyFill="1" applyBorder="1" applyAlignment="1">
      <alignment horizontal="center" vertical="center"/>
    </xf>
    <xf numFmtId="44" fontId="12" fillId="18" borderId="24" xfId="0" applyNumberFormat="1" applyFont="1" applyFill="1" applyBorder="1" applyAlignment="1">
      <alignment horizontal="center" vertical="center"/>
    </xf>
    <xf numFmtId="167" fontId="12" fillId="15" borderId="26" xfId="0" applyNumberFormat="1" applyFont="1" applyFill="1" applyBorder="1" applyAlignment="1">
      <alignment horizontal="center" vertical="center"/>
    </xf>
    <xf numFmtId="44" fontId="12" fillId="19" borderId="21" xfId="0" applyNumberFormat="1" applyFont="1" applyFill="1" applyBorder="1"/>
    <xf numFmtId="0" fontId="13" fillId="12" borderId="27" xfId="0" applyFont="1" applyFill="1" applyBorder="1"/>
    <xf numFmtId="0" fontId="12" fillId="15" borderId="28" xfId="0" applyFont="1" applyFill="1" applyBorder="1" applyAlignment="1">
      <alignment horizontal="center" vertical="center"/>
    </xf>
    <xf numFmtId="0" fontId="12" fillId="15" borderId="29" xfId="0" applyFont="1" applyFill="1" applyBorder="1" applyAlignment="1">
      <alignment horizontal="center" vertical="center"/>
    </xf>
    <xf numFmtId="10" fontId="11" fillId="16" borderId="30" xfId="0" applyNumberFormat="1" applyFont="1" applyFill="1" applyBorder="1" applyAlignment="1">
      <alignment horizontal="center" vertical="center"/>
    </xf>
    <xf numFmtId="166" fontId="11" fillId="16" borderId="30" xfId="0" applyNumberFormat="1" applyFont="1" applyFill="1" applyBorder="1" applyAlignment="1">
      <alignment horizontal="right" vertical="center"/>
    </xf>
    <xf numFmtId="168" fontId="11" fillId="18" borderId="18" xfId="0" applyNumberFormat="1" applyFont="1" applyFill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167" fontId="11" fillId="16" borderId="24" xfId="0" applyNumberFormat="1" applyFont="1" applyFill="1" applyBorder="1" applyAlignment="1">
      <alignment horizontal="center" vertical="center"/>
    </xf>
    <xf numFmtId="167" fontId="11" fillId="16" borderId="30" xfId="0" applyNumberFormat="1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20" borderId="17" xfId="0" applyNumberFormat="1" applyFont="1" applyFill="1" applyBorder="1" applyAlignment="1">
      <alignment horizontal="center" vertical="center"/>
    </xf>
    <xf numFmtId="167" fontId="12" fillId="21" borderId="21" xfId="0" applyNumberFormat="1" applyFont="1" applyFill="1" applyBorder="1" applyAlignment="1">
      <alignment horizontal="center" vertical="center"/>
    </xf>
    <xf numFmtId="167" fontId="12" fillId="21" borderId="23" xfId="0" applyNumberFormat="1" applyFont="1" applyFill="1" applyBorder="1" applyAlignment="1">
      <alignment horizontal="center" vertical="center"/>
    </xf>
    <xf numFmtId="167" fontId="12" fillId="21" borderId="17" xfId="0" applyNumberFormat="1" applyFont="1" applyFill="1" applyBorder="1" applyAlignment="1">
      <alignment horizontal="center" vertical="center"/>
    </xf>
    <xf numFmtId="164" fontId="11" fillId="16" borderId="24" xfId="0" applyNumberFormat="1" applyFont="1" applyFill="1" applyBorder="1" applyAlignment="1">
      <alignment horizontal="center" vertical="center"/>
    </xf>
    <xf numFmtId="164" fontId="11" fillId="16" borderId="30" xfId="0" applyNumberFormat="1" applyFont="1" applyFill="1" applyBorder="1" applyAlignment="1">
      <alignment horizontal="center" vertical="center"/>
    </xf>
    <xf numFmtId="44" fontId="12" fillId="21" borderId="21" xfId="0" applyNumberFormat="1" applyFont="1" applyFill="1" applyBorder="1" applyAlignment="1">
      <alignment horizontal="center" vertical="center"/>
    </xf>
    <xf numFmtId="44" fontId="12" fillId="21" borderId="23" xfId="0" applyNumberFormat="1" applyFont="1" applyFill="1" applyBorder="1" applyAlignment="1">
      <alignment horizontal="center" vertical="center"/>
    </xf>
    <xf numFmtId="44" fontId="12" fillId="21" borderId="17" xfId="0" applyNumberFormat="1" applyFont="1" applyFill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7" fontId="11" fillId="0" borderId="32" xfId="0" applyNumberFormat="1" applyFont="1" applyBorder="1" applyAlignment="1">
      <alignment horizontal="center" vertical="center"/>
    </xf>
    <xf numFmtId="10" fontId="11" fillId="0" borderId="32" xfId="0" applyNumberFormat="1" applyFont="1" applyBorder="1" applyAlignment="1">
      <alignment horizontal="center" vertical="center"/>
    </xf>
    <xf numFmtId="166" fontId="11" fillId="22" borderId="19" xfId="0" applyNumberFormat="1" applyFont="1" applyFill="1" applyBorder="1" applyAlignment="1">
      <alignment horizontal="left" vertical="center"/>
    </xf>
    <xf numFmtId="166" fontId="11" fillId="22" borderId="24" xfId="0" applyNumberFormat="1" applyFont="1" applyFill="1" applyBorder="1" applyAlignment="1">
      <alignment horizontal="left" vertical="center"/>
    </xf>
    <xf numFmtId="9" fontId="14" fillId="13" borderId="2" xfId="0" applyNumberFormat="1" applyFont="1" applyFill="1" applyBorder="1" applyAlignment="1">
      <alignment horizontal="center" vertical="center"/>
    </xf>
    <xf numFmtId="44" fontId="12" fillId="15" borderId="17" xfId="0" applyNumberFormat="1" applyFont="1" applyFill="1" applyBorder="1" applyAlignment="1">
      <alignment horizontal="center" vertical="center"/>
    </xf>
    <xf numFmtId="44" fontId="12" fillId="15" borderId="22" xfId="0" applyNumberFormat="1" applyFont="1" applyFill="1" applyBorder="1" applyAlignment="1">
      <alignment horizontal="center" vertical="center"/>
    </xf>
    <xf numFmtId="44" fontId="12" fillId="15" borderId="23" xfId="0" applyNumberFormat="1" applyFont="1" applyFill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205" fontId="11" fillId="22" borderId="24" xfId="0" applyNumberFormat="1" applyFont="1" applyFill="1" applyBorder="1" applyAlignment="1">
      <alignment horizontal="right" vertical="center"/>
    </xf>
    <xf numFmtId="198" fontId="11" fillId="23" borderId="32" xfId="0" applyNumberFormat="1" applyFont="1" applyFill="1" applyBorder="1" applyAlignment="1">
      <alignment horizontal="center" vertical="center"/>
    </xf>
    <xf numFmtId="197" fontId="11" fillId="22" borderId="24" xfId="0" applyNumberFormat="1" applyFont="1" applyFill="1" applyBorder="1" applyAlignment="1">
      <alignment horizontal="right" vertical="center"/>
    </xf>
    <xf numFmtId="196" fontId="11" fillId="22" borderId="24" xfId="0" applyNumberFormat="1" applyFont="1" applyFill="1" applyBorder="1" applyAlignment="1">
      <alignment horizontal="right" vertical="center"/>
    </xf>
    <xf numFmtId="10" fontId="12" fillId="24" borderId="24" xfId="0" applyNumberFormat="1" applyFont="1" applyFill="1" applyBorder="1" applyAlignment="1">
      <alignment horizontal="center" vertical="center"/>
    </xf>
    <xf numFmtId="10" fontId="12" fillId="24" borderId="19" xfId="0" applyNumberFormat="1" applyFont="1" applyFill="1" applyBorder="1" applyAlignment="1">
      <alignment horizontal="center" vertical="center"/>
    </xf>
    <xf numFmtId="10" fontId="12" fillId="25" borderId="32" xfId="0" applyNumberFormat="1" applyFont="1" applyFill="1" applyBorder="1" applyAlignment="1">
      <alignment horizontal="center" vertical="center"/>
    </xf>
    <xf numFmtId="10" fontId="12" fillId="24" borderId="30" xfId="0" applyNumberFormat="1" applyFont="1" applyFill="1" applyBorder="1" applyAlignment="1">
      <alignment horizontal="center" vertical="center"/>
    </xf>
  </cellXfs>
  <cellStyles count="8">
    <cellStyle name="Comma" xfId="1" builtinId="3"/>
    <cellStyle name="Currency" xfId="2" builtinId="4"/>
    <cellStyle name="Followed Hyperlink" xfId="5" builtinId="9" hidden="1"/>
    <cellStyle name="Followed Hyperlink" xfId="7" builtinId="9" hidden="1"/>
    <cellStyle name="Hyperlink" xfId="4" builtinId="8" hidden="1"/>
    <cellStyle name="Hyperlink" xfId="6" builtinId="8" hidden="1"/>
    <cellStyle name="Normal" xfId="0" builtinId="0"/>
    <cellStyle name="Per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CVA_STATIC!$J$21:$N$21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CVA_STATIC!$J$22:$N$22</c:f>
              <c:numCache>
                <c:formatCode>_-[$$-409]* #,##0.00_ ;_-[$$-409]* \-#,##0.00\ ;_-[$$-409]* "-"??_ ;_-@_ </c:formatCode>
                <c:ptCount val="5"/>
                <c:pt idx="0">
                  <c:v>96.95437922398423</c:v>
                </c:pt>
                <c:pt idx="1">
                  <c:v>971.8668835988383</c:v>
                </c:pt>
                <c:pt idx="2">
                  <c:v>797.0854969370366</c:v>
                </c:pt>
                <c:pt idx="3">
                  <c:v>622.5049933399946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70-4BE4-84AE-59C55BD95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0019168"/>
        <c:axId val="-1249112256"/>
      </c:scatterChart>
      <c:valAx>
        <c:axId val="-126001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9112256"/>
        <c:crosses val="autoZero"/>
        <c:crossBetween val="midCat"/>
      </c:valAx>
      <c:valAx>
        <c:axId val="-12491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001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CVA_In</a:t>
            </a:r>
            <a:r>
              <a:rPr lang="en-US" baseline="0"/>
              <a:t> Between Different Periods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CVA_STATIC!$A$22</c:f>
              <c:strCache>
                <c:ptCount val="1"/>
                <c:pt idx="0">
                  <c:v>CVA_PERIODO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CVA_STATIC!$B$17:$E$17</c:f>
              <c:strCache>
                <c:ptCount val="4"/>
                <c:pt idx="0">
                  <c:v>T0_T1</c:v>
                </c:pt>
                <c:pt idx="1">
                  <c:v>T1_T2</c:v>
                </c:pt>
                <c:pt idx="2">
                  <c:v>T2_T3</c:v>
                </c:pt>
                <c:pt idx="3">
                  <c:v>T3_T4</c:v>
                </c:pt>
              </c:strCache>
            </c:strRef>
          </c:cat>
          <c:val>
            <c:numRef>
              <c:f>CVA_STATIC!$B$22:$E$22</c:f>
              <c:numCache>
                <c:formatCode>_("$"* #,##0.00_);_("$"* \(#,##0.00\);_("$"* "-"??_);_(@_)</c:formatCode>
                <c:ptCount val="4"/>
                <c:pt idx="0">
                  <c:v>2.395732378566585</c:v>
                </c:pt>
                <c:pt idx="1">
                  <c:v>3.932971398474277</c:v>
                </c:pt>
                <c:pt idx="2">
                  <c:v>3.129039749453071</c:v>
                </c:pt>
                <c:pt idx="3">
                  <c:v>1.35999258934143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77-4121-BDE0-A2E3E1E73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63806976"/>
        <c:axId val="-1337917776"/>
      </c:barChart>
      <c:catAx>
        <c:axId val="-12638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7917776"/>
        <c:crosses val="autoZero"/>
        <c:auto val="1"/>
        <c:lblAlgn val="ctr"/>
        <c:lblOffset val="100"/>
        <c:noMultiLvlLbl val="0"/>
      </c:catAx>
      <c:valAx>
        <c:axId val="-133791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38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STATIC_CORRECTED!$B$28:$F$28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STATIC_CORRECTED!$B$29:$F$29</c:f>
              <c:numCache>
                <c:formatCode>_("$"* #,##0.00_);_("$"* \(#,##0.00\);_("$"* "-"??_);_(@_)</c:formatCode>
                <c:ptCount val="5"/>
                <c:pt idx="0">
                  <c:v>96.95438359883837</c:v>
                </c:pt>
                <c:pt idx="1">
                  <c:v>971.9640751466946</c:v>
                </c:pt>
                <c:pt idx="2">
                  <c:v>798.0824767908014</c:v>
                </c:pt>
                <c:pt idx="3">
                  <c:v>624.0007995735038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70-4BE4-84AE-59C55BD95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3819632"/>
        <c:axId val="-1650974288"/>
      </c:scatterChart>
      <c:valAx>
        <c:axId val="-12638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0974288"/>
        <c:crosses val="autoZero"/>
        <c:crossBetween val="midCat"/>
      </c:valAx>
      <c:valAx>
        <c:axId val="-16509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38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CVA_In</a:t>
            </a:r>
            <a:r>
              <a:rPr lang="en-US" baseline="0"/>
              <a:t> Between Different Periods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STATIC_CORRECTED!$A$22</c:f>
              <c:strCache>
                <c:ptCount val="1"/>
                <c:pt idx="0">
                  <c:v> CVA_PERIODO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CVA_STATIC!$B$17:$E$17</c:f>
              <c:strCache>
                <c:ptCount val="4"/>
                <c:pt idx="0">
                  <c:v>T0_T1</c:v>
                </c:pt>
                <c:pt idx="1">
                  <c:v>T1_T2</c:v>
                </c:pt>
                <c:pt idx="2">
                  <c:v>T2_T3</c:v>
                </c:pt>
                <c:pt idx="3">
                  <c:v>T3_T4</c:v>
                </c:pt>
              </c:strCache>
            </c:strRef>
          </c:cat>
          <c:val>
            <c:numRef>
              <c:f>STATIC_CORRECTED!$B$22:$E$22</c:f>
              <c:numCache>
                <c:formatCode>_("$"* #,##0.00_);_("$"* \(#,##0.00\);_("$"* "-"??_);_(@_)</c:formatCode>
                <c:ptCount val="4"/>
                <c:pt idx="0">
                  <c:v>2.395950234465404</c:v>
                </c:pt>
                <c:pt idx="1">
                  <c:v>3.935600999791245</c:v>
                </c:pt>
                <c:pt idx="2">
                  <c:v>3.136495746660494</c:v>
                </c:pt>
                <c:pt idx="3">
                  <c:v>1.364899679027626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77-4121-BDE0-A2E3E1E73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95996752"/>
        <c:axId val="-1674512112"/>
      </c:barChart>
      <c:catAx>
        <c:axId val="-129599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4512112"/>
        <c:crosses val="autoZero"/>
        <c:auto val="1"/>
        <c:lblAlgn val="ctr"/>
        <c:lblOffset val="100"/>
        <c:noMultiLvlLbl val="0"/>
      </c:catAx>
      <c:valAx>
        <c:axId val="-16745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599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'CVA_DYNAMIC EDIT'!$B$28:$F$28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'CVA_DYNAMIC EDIT'!$B$29:$F$29</c:f>
              <c:numCache>
                <c:formatCode>_("$"* #,##0.00_);_("$"* \(#,##0.00\);_("$"* "-"??_);_(@_)</c:formatCode>
                <c:ptCount val="5"/>
                <c:pt idx="0">
                  <c:v>96.95438359883837</c:v>
                </c:pt>
                <c:pt idx="1">
                  <c:v>971.9640751466946</c:v>
                </c:pt>
                <c:pt idx="2">
                  <c:v>798.0824767908014</c:v>
                </c:pt>
                <c:pt idx="3">
                  <c:v>624.0007995735038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70-4BE4-84AE-59C55BD95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0621264"/>
        <c:axId val="-1646700448"/>
      </c:scatterChart>
      <c:valAx>
        <c:axId val="-165062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6700448"/>
        <c:crosses val="autoZero"/>
        <c:crossBetween val="midCat"/>
      </c:valAx>
      <c:valAx>
        <c:axId val="-16467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062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CVA_In</a:t>
            </a:r>
            <a:r>
              <a:rPr lang="en-US" baseline="0"/>
              <a:t> Between Different Periods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'CVA_DYNAMIC EDIT'!$A$22</c:f>
              <c:strCache>
                <c:ptCount val="1"/>
                <c:pt idx="0">
                  <c:v> CVA_PERIODO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CVA_STATIC!$B$17:$E$17</c:f>
              <c:strCache>
                <c:ptCount val="4"/>
                <c:pt idx="0">
                  <c:v>T0_T1</c:v>
                </c:pt>
                <c:pt idx="1">
                  <c:v>T1_T2</c:v>
                </c:pt>
                <c:pt idx="2">
                  <c:v>T2_T3</c:v>
                </c:pt>
                <c:pt idx="3">
                  <c:v>T3_T4</c:v>
                </c:pt>
              </c:strCache>
            </c:strRef>
          </c:cat>
          <c:val>
            <c:numRef>
              <c:f>'CVA_DYNAMIC EDIT'!$B$22:$E$22</c:f>
              <c:numCache>
                <c:formatCode>_("$"* #,##0.00_);_("$"* \(#,##0.00\);_("$"* "-"??_);_(@_)</c:formatCode>
                <c:ptCount val="4"/>
                <c:pt idx="0">
                  <c:v>2.395950234465404</c:v>
                </c:pt>
                <c:pt idx="1">
                  <c:v>3.935600999791245</c:v>
                </c:pt>
                <c:pt idx="2">
                  <c:v>3.136495746660494</c:v>
                </c:pt>
                <c:pt idx="3">
                  <c:v>1.364899679027626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77-4121-BDE0-A2E3E1E73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49324496"/>
        <c:axId val="-1620972720"/>
      </c:barChart>
      <c:catAx>
        <c:axId val="-164932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0972720"/>
        <c:crosses val="autoZero"/>
        <c:auto val="1"/>
        <c:lblAlgn val="ctr"/>
        <c:lblOffset val="100"/>
        <c:noMultiLvlLbl val="0"/>
      </c:catAx>
      <c:valAx>
        <c:axId val="-162097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932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CVA_DYNAMIC!$J$21:$N$21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CVA_DYNAMIC!$J$22:$N$22</c:f>
              <c:numCache>
                <c:formatCode>_-[$$-409]* #,##0.00_ ;_-[$$-409]* \-#,##0.00\ ;_-[$$-409]* "-"??_ ;_-@_ 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BD-476E-B447-8363891C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2246304"/>
        <c:axId val="-1248743184"/>
      </c:scatterChart>
      <c:valAx>
        <c:axId val="-1342246304"/>
        <c:scaling>
          <c:orientation val="minMax"/>
          <c:max val="1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8743184"/>
        <c:crosses val="autoZero"/>
        <c:crossBetween val="midCat"/>
      </c:valAx>
      <c:valAx>
        <c:axId val="-1248743184"/>
        <c:scaling>
          <c:orientation val="minMax"/>
          <c:max val="14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224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TERM STRUCTURE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CVA_DYNAMIC!$E$4:$H$4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CVA_DYNAMIC!$E$5:$H$5</c:f>
              <c:numCache>
                <c:formatCode>0.000%</c:formatCode>
                <c:ptCount val="4"/>
                <c:pt idx="0">
                  <c:v>0.000395147038650097</c:v>
                </c:pt>
                <c:pt idx="1">
                  <c:v>0.00256488987468638</c:v>
                </c:pt>
                <c:pt idx="2">
                  <c:v>0.0031846675258141</c:v>
                </c:pt>
                <c:pt idx="3">
                  <c:v>0.00390490958968687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13E-47AE-B67A-D17CE2C1DB06}"/>
            </c:ext>
          </c:extLst>
        </c:ser>
        <c:ser>
          <c:idx val="1"/>
          <c:order val="1"/>
          <c:tx>
            <c:v>FWD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CVA_DYNAMIC!$E$4:$H$4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CVA_DYNAMIC!$E$6:$H$6</c:f>
              <c:numCache>
                <c:formatCode>0.00%</c:formatCode>
                <c:ptCount val="4"/>
                <c:pt idx="0">
                  <c:v>0.000395147038650097</c:v>
                </c:pt>
                <c:pt idx="1">
                  <c:v>0.00473463271072267</c:v>
                </c:pt>
                <c:pt idx="2">
                  <c:v>0.00442422282806952</c:v>
                </c:pt>
                <c:pt idx="3">
                  <c:v>0.00606563578130517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13E-47AE-B67A-D17CE2C1DB06}"/>
            </c:ext>
          </c:extLst>
        </c:ser>
        <c:ser>
          <c:idx val="2"/>
          <c:order val="2"/>
          <c:tx>
            <c:v>REFERENCE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dash"/>
              </a:ln>
              <a:effectLst/>
            </c:spPr>
          </c:marker>
          <c:xVal>
            <c:numRef>
              <c:f>CVA_DYNAMIC!$E$4:$H$4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CVA_DYNAMIC!$E$10:$H$10</c:f>
              <c:numCache>
                <c:formatCode>0.00%</c:formatCode>
                <c:ptCount val="4"/>
                <c:pt idx="0">
                  <c:v>0.0004</c:v>
                </c:pt>
                <c:pt idx="1">
                  <c:v>0.0025</c:v>
                </c:pt>
                <c:pt idx="2">
                  <c:v>0.0032</c:v>
                </c:pt>
                <c:pt idx="3">
                  <c:v>0.004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13E-47AE-B67A-D17CE2C1D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4983728"/>
        <c:axId val="-1263171616"/>
      </c:scatterChart>
      <c:valAx>
        <c:axId val="-1264983728"/>
        <c:scaling>
          <c:orientation val="minMax"/>
          <c:max val="1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3171616"/>
        <c:crosses val="autoZero"/>
        <c:crossBetween val="midCat"/>
      </c:valAx>
      <c:valAx>
        <c:axId val="-1263171616"/>
        <c:scaling>
          <c:orientation val="minMax"/>
          <c:max val="0.01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98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4" Type="http://schemas.openxmlformats.org/officeDocument/2006/relationships/image" Target="../media/image2.emf"/><Relationship Id="rId5" Type="http://schemas.openxmlformats.org/officeDocument/2006/relationships/image" Target="../media/image3.emf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24</xdr:row>
      <xdr:rowOff>0</xdr:rowOff>
    </xdr:from>
    <xdr:to>
      <xdr:col>14</xdr:col>
      <xdr:colOff>0</xdr:colOff>
      <xdr:row>41</xdr:row>
      <xdr:rowOff>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128123</xdr:rowOff>
    </xdr:from>
    <xdr:to>
      <xdr:col>6</xdr:col>
      <xdr:colOff>132906</xdr:colOff>
      <xdr:row>41</xdr:row>
      <xdr:rowOff>59070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330200</xdr:colOff>
      <xdr:row>0</xdr:row>
      <xdr:rowOff>0</xdr:rowOff>
    </xdr:from>
    <xdr:to>
      <xdr:col>22</xdr:col>
      <xdr:colOff>152401</xdr:colOff>
      <xdr:row>13</xdr:row>
      <xdr:rowOff>167984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78100" y="0"/>
          <a:ext cx="2514600" cy="2961984"/>
        </a:xfrm>
        <a:prstGeom prst="rect">
          <a:avLst/>
        </a:prstGeom>
      </xdr:spPr>
    </xdr:pic>
    <xdr:clientData/>
  </xdr:twoCellAnchor>
  <xdr:twoCellAnchor editAs="oneCell">
    <xdr:from>
      <xdr:col>4</xdr:col>
      <xdr:colOff>17609</xdr:colOff>
      <xdr:row>9</xdr:row>
      <xdr:rowOff>3840</xdr:rowOff>
    </xdr:from>
    <xdr:to>
      <xdr:col>6</xdr:col>
      <xdr:colOff>1</xdr:colOff>
      <xdr:row>11</xdr:row>
      <xdr:rowOff>118140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65167" y="1982677"/>
          <a:ext cx="1532973" cy="557323"/>
        </a:xfrm>
        <a:prstGeom prst="rect">
          <a:avLst/>
        </a:prstGeom>
        <a:solidFill>
          <a:schemeClr val="bg2">
            <a:lumMod val="90000"/>
          </a:schemeClr>
        </a:solidFill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18</xdr:col>
      <xdr:colOff>165099</xdr:colOff>
      <xdr:row>11</xdr:row>
      <xdr:rowOff>58496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28600" y="203200"/>
          <a:ext cx="2184399" cy="2217496"/>
        </a:xfrm>
        <a:prstGeom prst="rect">
          <a:avLst/>
        </a:prstGeom>
        <a:solidFill>
          <a:srgbClr val="FFFF00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25400</xdr:rowOff>
    </xdr:from>
    <xdr:to>
      <xdr:col>6</xdr:col>
      <xdr:colOff>694267</xdr:colOff>
      <xdr:row>48</xdr:row>
      <xdr:rowOff>88900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279400</xdr:colOff>
      <xdr:row>52</xdr:row>
      <xdr:rowOff>177800</xdr:rowOff>
    </xdr:from>
    <xdr:to>
      <xdr:col>6</xdr:col>
      <xdr:colOff>742506</xdr:colOff>
      <xdr:row>67</xdr:row>
      <xdr:rowOff>108747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25400</xdr:rowOff>
    </xdr:from>
    <xdr:to>
      <xdr:col>6</xdr:col>
      <xdr:colOff>694267</xdr:colOff>
      <xdr:row>48</xdr:row>
      <xdr:rowOff>88900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279400</xdr:colOff>
      <xdr:row>52</xdr:row>
      <xdr:rowOff>177800</xdr:rowOff>
    </xdr:from>
    <xdr:to>
      <xdr:col>6</xdr:col>
      <xdr:colOff>742506</xdr:colOff>
      <xdr:row>67</xdr:row>
      <xdr:rowOff>108747</xdr:rowOff>
    </xdr:to>
    <xdr:graphicFrame macro="">
      <xdr:nvGraphicFramePr>
        <xdr:cNvPr id="3" name="Gra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24</xdr:row>
      <xdr:rowOff>110489</xdr:rowOff>
    </xdr:from>
    <xdr:to>
      <xdr:col>12</xdr:col>
      <xdr:colOff>866775</xdr:colOff>
      <xdr:row>41</xdr:row>
      <xdr:rowOff>38100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438149</xdr:colOff>
      <xdr:row>24</xdr:row>
      <xdr:rowOff>114299</xdr:rowOff>
    </xdr:from>
    <xdr:to>
      <xdr:col>7</xdr:col>
      <xdr:colOff>352425</xdr:colOff>
      <xdr:row>41</xdr:row>
      <xdr:rowOff>57149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zoomScale="86" zoomScaleNormal="92" zoomScalePageLayoutView="92" workbookViewId="0">
      <selection activeCell="K10" sqref="K10"/>
    </sheetView>
  </sheetViews>
  <sheetFormatPr baseColWidth="10" defaultColWidth="8.83203125" defaultRowHeight="16" x14ac:dyDescent="0.2"/>
  <cols>
    <col min="1" max="1" width="14.5" customWidth="1"/>
    <col min="2" max="2" width="14.33203125" customWidth="1"/>
    <col min="3" max="3" width="10.1640625" customWidth="1"/>
    <col min="4" max="4" width="10" bestFit="1" customWidth="1"/>
    <col min="5" max="5" width="11.5" customWidth="1"/>
    <col min="10" max="10" width="12.6640625" customWidth="1"/>
    <col min="11" max="11" width="13.83203125" customWidth="1"/>
    <col min="12" max="12" width="13.33203125" customWidth="1"/>
    <col min="13" max="13" width="14.5" customWidth="1"/>
    <col min="14" max="14" width="15.33203125" customWidth="1"/>
  </cols>
  <sheetData>
    <row r="1" spans="1:14" ht="16.5" thickBot="1" x14ac:dyDescent="0.3">
      <c r="D1">
        <v>0</v>
      </c>
      <c r="E1">
        <v>3</v>
      </c>
      <c r="F1">
        <v>6</v>
      </c>
      <c r="G1">
        <v>9</v>
      </c>
      <c r="H1">
        <v>12</v>
      </c>
    </row>
    <row r="2" spans="1:14" ht="17" thickBot="1" x14ac:dyDescent="0.25">
      <c r="A2" s="8" t="s">
        <v>35</v>
      </c>
      <c r="B2" s="9"/>
      <c r="D2" s="8" t="s">
        <v>36</v>
      </c>
      <c r="E2" s="8"/>
      <c r="F2" s="8"/>
      <c r="G2" s="8"/>
      <c r="H2" s="8"/>
      <c r="J2" s="8" t="s">
        <v>37</v>
      </c>
      <c r="K2" s="8"/>
      <c r="L2" s="8"/>
      <c r="M2" s="8"/>
      <c r="N2" s="8"/>
    </row>
    <row r="3" spans="1:14" ht="17" thickBot="1" x14ac:dyDescent="0.25">
      <c r="A3" s="4" t="s">
        <v>34</v>
      </c>
      <c r="B3" s="47">
        <v>3.8999999999999998E-3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7" thickBot="1" x14ac:dyDescent="0.25">
      <c r="A4" s="4" t="s">
        <v>40</v>
      </c>
      <c r="B4" s="48" t="s">
        <v>45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51">
        <v>0</v>
      </c>
      <c r="K4" s="52">
        <v>0.25</v>
      </c>
      <c r="L4" s="52">
        <v>0.5</v>
      </c>
      <c r="M4" s="52">
        <v>0.75</v>
      </c>
      <c r="N4" s="53">
        <v>1</v>
      </c>
    </row>
    <row r="5" spans="1:14" ht="17" thickBot="1" x14ac:dyDescent="0.25">
      <c r="A5" s="4" t="s">
        <v>0</v>
      </c>
      <c r="B5" s="48" t="s">
        <v>15</v>
      </c>
      <c r="D5" s="39" t="s">
        <v>50</v>
      </c>
      <c r="E5" s="40">
        <v>4.0000000000000002E-4</v>
      </c>
      <c r="F5" s="40">
        <v>2.5000000000000001E-3</v>
      </c>
      <c r="G5" s="40">
        <v>3.2000000000000002E-3</v>
      </c>
      <c r="H5" s="40">
        <v>4.0000000000000001E-3</v>
      </c>
      <c r="J5" s="54" t="s">
        <v>2</v>
      </c>
      <c r="K5" s="58">
        <f>+$B$7</f>
        <v>1000000</v>
      </c>
      <c r="L5" s="58">
        <f t="shared" ref="L5:N5" si="0">+$B$7</f>
        <v>1000000</v>
      </c>
      <c r="M5" s="58">
        <f t="shared" si="0"/>
        <v>1000000</v>
      </c>
      <c r="N5" s="58">
        <f t="shared" si="0"/>
        <v>1000000</v>
      </c>
    </row>
    <row r="6" spans="1:14" ht="17" thickBot="1" x14ac:dyDescent="0.25">
      <c r="A6" s="4" t="s">
        <v>1</v>
      </c>
      <c r="B6" s="48" t="s">
        <v>44</v>
      </c>
      <c r="D6" s="7" t="s">
        <v>42</v>
      </c>
      <c r="E6" s="41">
        <f>E5</f>
        <v>4.0000000000000002E-4</v>
      </c>
      <c r="F6" s="42">
        <f>(F5*F4-E5*E4)/(F4-E4)</f>
        <v>4.5999999999999999E-3</v>
      </c>
      <c r="G6" s="42">
        <f>(G5*G4-F5*F4)/(G4-F4)</f>
        <v>4.6000000000000008E-3</v>
      </c>
      <c r="H6" s="42">
        <f>(H5*H4-G5*G4)/(H4-G4)</f>
        <v>6.3999999999999994E-3</v>
      </c>
      <c r="J6" s="54" t="s">
        <v>49</v>
      </c>
      <c r="K6" s="59">
        <f>E6</f>
        <v>4.0000000000000002E-4</v>
      </c>
      <c r="L6" s="59">
        <f>F6</f>
        <v>4.5999999999999999E-3</v>
      </c>
      <c r="M6" s="59">
        <f>G6</f>
        <v>4.6000000000000008E-3</v>
      </c>
      <c r="N6" s="59">
        <f>H6</f>
        <v>6.3999999999999994E-3</v>
      </c>
    </row>
    <row r="7" spans="1:14" ht="17" thickBot="1" x14ac:dyDescent="0.25">
      <c r="A7" s="4" t="s">
        <v>46</v>
      </c>
      <c r="B7" s="49">
        <v>1000000</v>
      </c>
      <c r="D7" s="7" t="s">
        <v>10</v>
      </c>
      <c r="E7" s="46">
        <f>EXP(-E5*E4)</f>
        <v>0.99990000499983334</v>
      </c>
      <c r="F7" s="46">
        <f t="shared" ref="F7:H7" si="1">EXP(-F5*F4)</f>
        <v>0.99875078092458092</v>
      </c>
      <c r="G7" s="46">
        <f t="shared" si="1"/>
        <v>0.99760287769738176</v>
      </c>
      <c r="H7" s="46">
        <f t="shared" si="1"/>
        <v>0.99600798934399148</v>
      </c>
      <c r="J7" s="54" t="s">
        <v>48</v>
      </c>
      <c r="K7" s="59">
        <f>$B$3</f>
        <v>3.8999999999999998E-3</v>
      </c>
      <c r="L7" s="59">
        <f t="shared" ref="L7:N7" si="2">$B$3</f>
        <v>3.8999999999999998E-3</v>
      </c>
      <c r="M7" s="59">
        <f t="shared" si="2"/>
        <v>3.8999999999999998E-3</v>
      </c>
      <c r="N7" s="59">
        <f t="shared" si="2"/>
        <v>3.8999999999999998E-3</v>
      </c>
    </row>
    <row r="8" spans="1:14" ht="17" thickBot="1" x14ac:dyDescent="0.25">
      <c r="A8" s="4"/>
      <c r="B8" s="48"/>
      <c r="D8" s="7" t="s">
        <v>30</v>
      </c>
      <c r="E8" s="45">
        <f>EXP(-$B$9*D4)-EXP(-$B$9*E4)</f>
        <v>7.4719451808615833E-3</v>
      </c>
      <c r="F8" s="45">
        <f t="shared" ref="F8:H8" si="3">EXP(-$B$9*E4)-EXP(-$B$9*F4)</f>
        <v>7.4161152160757693E-3</v>
      </c>
      <c r="G8" s="45">
        <f t="shared" si="3"/>
        <v>7.3607024097263052E-3</v>
      </c>
      <c r="H8" s="45">
        <f t="shared" si="3"/>
        <v>7.3057036448281876E-3</v>
      </c>
      <c r="J8" s="54" t="s">
        <v>18</v>
      </c>
      <c r="K8" s="60">
        <f>E7</f>
        <v>0.99990000499983334</v>
      </c>
      <c r="L8" s="60">
        <f>F7</f>
        <v>0.99875078092458092</v>
      </c>
      <c r="M8" s="60">
        <f>G7</f>
        <v>0.99760287769738176</v>
      </c>
      <c r="N8" s="60">
        <f>H7</f>
        <v>0.99600798934399148</v>
      </c>
    </row>
    <row r="9" spans="1:14" ht="17" thickBot="1" x14ac:dyDescent="0.25">
      <c r="A9" s="4" t="s">
        <v>11</v>
      </c>
      <c r="B9" s="50">
        <v>0.03</v>
      </c>
      <c r="J9" s="54" t="s">
        <v>19</v>
      </c>
      <c r="K9" s="55">
        <v>0.25</v>
      </c>
      <c r="L9" s="55">
        <v>0.25</v>
      </c>
      <c r="M9" s="55">
        <v>0.25</v>
      </c>
      <c r="N9" s="55">
        <v>0.25</v>
      </c>
    </row>
    <row r="10" spans="1:14" ht="17" thickBot="1" x14ac:dyDescent="0.25">
      <c r="A10" s="4" t="s">
        <v>12</v>
      </c>
      <c r="B10" s="50">
        <v>0.4</v>
      </c>
      <c r="D10" s="43" t="s">
        <v>43</v>
      </c>
      <c r="J10" s="56" t="s">
        <v>47</v>
      </c>
      <c r="K10" s="57">
        <f>K5*K9*K8*(K6-K7)</f>
        <v>-874.91250437485405</v>
      </c>
      <c r="L10" s="57">
        <f t="shared" ref="L10:N10" si="4">L5*L9*L8*(L6-L7)</f>
        <v>174.78138666180169</v>
      </c>
      <c r="M10" s="57">
        <f t="shared" si="4"/>
        <v>174.58050359704205</v>
      </c>
      <c r="N10" s="57">
        <f t="shared" si="4"/>
        <v>622.5049933399946</v>
      </c>
    </row>
    <row r="11" spans="1:14" ht="17" thickBot="1" x14ac:dyDescent="0.25"/>
    <row r="12" spans="1:14" ht="17" thickBot="1" x14ac:dyDescent="0.25">
      <c r="J12" s="18" t="s">
        <v>20</v>
      </c>
    </row>
    <row r="13" spans="1:14" ht="17" thickBot="1" x14ac:dyDescent="0.25">
      <c r="J13" s="57">
        <f>SUM(K10:N10)</f>
        <v>96.954379223984233</v>
      </c>
      <c r="K13" s="18" t="s">
        <v>21</v>
      </c>
    </row>
    <row r="14" spans="1:14" ht="17" thickBot="1" x14ac:dyDescent="0.25">
      <c r="K14" s="57">
        <f>SUM(L10:N10)</f>
        <v>971.86688359883829</v>
      </c>
      <c r="L14" s="18" t="s">
        <v>22</v>
      </c>
    </row>
    <row r="15" spans="1:14" ht="17" thickBot="1" x14ac:dyDescent="0.25">
      <c r="L15" s="57">
        <f>SUM(M10:N10)</f>
        <v>797.08549693703662</v>
      </c>
      <c r="M15" s="18" t="s">
        <v>23</v>
      </c>
    </row>
    <row r="16" spans="1:14" ht="17" thickBot="1" x14ac:dyDescent="0.25">
      <c r="A16" s="8" t="s">
        <v>39</v>
      </c>
      <c r="B16" s="8"/>
      <c r="C16" s="8"/>
      <c r="D16" s="8"/>
      <c r="E16" s="8"/>
      <c r="M16" s="57">
        <f>SUM(N10)</f>
        <v>622.5049933399946</v>
      </c>
      <c r="N16" s="18" t="s">
        <v>24</v>
      </c>
    </row>
    <row r="17" spans="1:14" ht="17" thickBot="1" x14ac:dyDescent="0.25">
      <c r="A17" s="4"/>
      <c r="B17" s="5" t="s">
        <v>52</v>
      </c>
      <c r="C17" s="5" t="s">
        <v>53</v>
      </c>
      <c r="D17" s="5" t="s">
        <v>54</v>
      </c>
      <c r="E17" s="6" t="s">
        <v>55</v>
      </c>
      <c r="N17" s="57">
        <v>0</v>
      </c>
    </row>
    <row r="18" spans="1:14" ht="17" thickBot="1" x14ac:dyDescent="0.25">
      <c r="A18" s="20" t="s">
        <v>29</v>
      </c>
      <c r="B18" s="64">
        <f>AVERAGE(J22:K22)</f>
        <v>534.41063141141126</v>
      </c>
      <c r="C18" s="64">
        <f t="shared" ref="C18:E18" si="5">AVERAGE(K22:L22)</f>
        <v>884.47619026793745</v>
      </c>
      <c r="D18" s="64">
        <f t="shared" si="5"/>
        <v>709.79524513851561</v>
      </c>
      <c r="E18" s="64">
        <f t="shared" si="5"/>
        <v>311.2524966699973</v>
      </c>
    </row>
    <row r="19" spans="1:14" ht="17" thickBot="1" x14ac:dyDescent="0.25">
      <c r="A19" s="20" t="s">
        <v>51</v>
      </c>
      <c r="B19" s="63">
        <f>1-$B$10</f>
        <v>0.6</v>
      </c>
      <c r="C19" s="63">
        <f t="shared" ref="C19:E19" si="6">1-$B$10</f>
        <v>0.6</v>
      </c>
      <c r="D19" s="63">
        <f t="shared" si="6"/>
        <v>0.6</v>
      </c>
      <c r="E19" s="63">
        <f t="shared" si="6"/>
        <v>0.6</v>
      </c>
      <c r="J19" s="8" t="s">
        <v>38</v>
      </c>
      <c r="K19" s="8"/>
      <c r="L19" s="8"/>
      <c r="M19" s="8"/>
      <c r="N19" s="8"/>
    </row>
    <row r="20" spans="1:14" ht="17" thickBot="1" x14ac:dyDescent="0.25">
      <c r="A20" s="20" t="s">
        <v>10</v>
      </c>
      <c r="B20" s="65">
        <f>(1+E7)/2</f>
        <v>0.99995000249991661</v>
      </c>
      <c r="C20" s="66">
        <f>AVERAGE(E7:F7)</f>
        <v>0.99932539296220713</v>
      </c>
      <c r="D20" s="66">
        <f t="shared" ref="D20:E20" si="7">AVERAGE(F7:G7)</f>
        <v>0.99817682931098139</v>
      </c>
      <c r="E20" s="66">
        <f t="shared" si="7"/>
        <v>0.99680543352068662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0" t="s">
        <v>30</v>
      </c>
      <c r="B21" s="44">
        <f>E8</f>
        <v>7.4719451808615833E-3</v>
      </c>
      <c r="C21" s="44">
        <f t="shared" ref="C21:E21" si="8">F8</f>
        <v>7.4161152160757693E-3</v>
      </c>
      <c r="D21" s="44">
        <f t="shared" si="8"/>
        <v>7.3607024097263052E-3</v>
      </c>
      <c r="E21" s="44">
        <f t="shared" si="8"/>
        <v>7.3057036448281876E-3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x14ac:dyDescent="0.2">
      <c r="A22" s="20" t="s">
        <v>31</v>
      </c>
      <c r="B22" s="68">
        <f>B18*B19*B20*B21</f>
        <v>2.3957323785665854</v>
      </c>
      <c r="C22" s="68">
        <f t="shared" ref="C22:E22" si="9">C18*C19*C20*C21</f>
        <v>3.9329713984742773</v>
      </c>
      <c r="D22" s="68">
        <f t="shared" si="9"/>
        <v>3.1290397494530708</v>
      </c>
      <c r="E22" s="68">
        <f t="shared" si="9"/>
        <v>1.3599925893414304</v>
      </c>
      <c r="J22" s="61">
        <f>MAX(J13,0)</f>
        <v>96.954379223984233</v>
      </c>
      <c r="K22" s="61">
        <f>MAX(K14,0)</f>
        <v>971.86688359883829</v>
      </c>
      <c r="L22" s="61">
        <f>MAX(L15,0)</f>
        <v>797.08549693703662</v>
      </c>
      <c r="M22" s="61">
        <f>MAX(M16,0)</f>
        <v>622.5049933399946</v>
      </c>
      <c r="N22" s="61">
        <f>MAX(N17,0)</f>
        <v>0</v>
      </c>
    </row>
    <row r="23" spans="1:14" ht="17" thickBot="1" x14ac:dyDescent="0.25">
      <c r="A23" s="32" t="s">
        <v>13</v>
      </c>
      <c r="B23" s="67">
        <f>SUM(B22:E22)</f>
        <v>10.817736115835364</v>
      </c>
      <c r="C23" s="69"/>
      <c r="D23" s="69"/>
      <c r="E23" s="69"/>
    </row>
  </sheetData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0"/>
  <sheetViews>
    <sheetView topLeftCell="A13" zoomScale="75" workbookViewId="0">
      <selection activeCell="I59" sqref="I59"/>
    </sheetView>
  </sheetViews>
  <sheetFormatPr baseColWidth="10" defaultRowHeight="15" x14ac:dyDescent="0.2"/>
  <cols>
    <col min="1" max="1" width="10.83203125" style="62"/>
    <col min="2" max="2" width="12.6640625" style="62" customWidth="1"/>
    <col min="3" max="8" width="11" style="62" bestFit="1" customWidth="1"/>
    <col min="9" max="9" width="10" style="62" customWidth="1"/>
    <col min="10" max="10" width="11.6640625" style="62" customWidth="1"/>
    <col min="11" max="13" width="12.6640625" style="62" bestFit="1" customWidth="1"/>
    <col min="14" max="14" width="12.83203125" style="62" bestFit="1" customWidth="1"/>
    <col min="15" max="16" width="9.33203125" style="62" customWidth="1"/>
    <col min="17" max="16384" width="10.83203125" style="62"/>
  </cols>
  <sheetData>
    <row r="1" spans="1:23" ht="16" thickBot="1" x14ac:dyDescent="0.25">
      <c r="A1" s="74"/>
      <c r="B1" s="74"/>
      <c r="C1" s="74"/>
      <c r="D1" s="74">
        <v>0</v>
      </c>
      <c r="E1" s="74">
        <v>3</v>
      </c>
      <c r="F1" s="74">
        <v>6</v>
      </c>
      <c r="G1" s="74">
        <v>9</v>
      </c>
      <c r="H1" s="74">
        <v>12</v>
      </c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</row>
    <row r="2" spans="1:23" ht="16" thickBot="1" x14ac:dyDescent="0.25">
      <c r="A2" s="75" t="s">
        <v>35</v>
      </c>
      <c r="B2" s="76"/>
      <c r="C2" s="74"/>
      <c r="D2" s="75" t="s">
        <v>36</v>
      </c>
      <c r="E2" s="75"/>
      <c r="F2" s="75"/>
      <c r="G2" s="75"/>
      <c r="H2" s="99"/>
      <c r="I2" s="74"/>
      <c r="J2" s="75" t="s">
        <v>37</v>
      </c>
      <c r="K2" s="75"/>
      <c r="L2" s="75"/>
      <c r="M2" s="75"/>
      <c r="N2" s="99"/>
      <c r="O2" s="74"/>
      <c r="P2" s="74"/>
      <c r="V2" s="74"/>
      <c r="W2" s="74"/>
    </row>
    <row r="3" spans="1:23" ht="16" thickBot="1" x14ac:dyDescent="0.25">
      <c r="A3" s="72" t="s">
        <v>34</v>
      </c>
      <c r="B3" s="77">
        <v>3.8999999999999998E-3</v>
      </c>
      <c r="C3" s="74"/>
      <c r="D3" s="72" t="s">
        <v>3</v>
      </c>
      <c r="E3" s="78" t="s">
        <v>4</v>
      </c>
      <c r="F3" s="78" t="s">
        <v>5</v>
      </c>
      <c r="G3" s="78" t="s">
        <v>6</v>
      </c>
      <c r="H3" s="79" t="s">
        <v>7</v>
      </c>
      <c r="I3" s="74"/>
      <c r="J3" s="72" t="s">
        <v>3</v>
      </c>
      <c r="K3" s="78" t="s">
        <v>4</v>
      </c>
      <c r="L3" s="78" t="s">
        <v>5</v>
      </c>
      <c r="M3" s="78" t="s">
        <v>6</v>
      </c>
      <c r="N3" s="79" t="s">
        <v>7</v>
      </c>
      <c r="O3" s="74"/>
      <c r="P3" s="74"/>
      <c r="V3" s="74"/>
      <c r="W3" s="74"/>
    </row>
    <row r="4" spans="1:23" ht="16" thickBot="1" x14ac:dyDescent="0.25">
      <c r="A4" s="80" t="s">
        <v>40</v>
      </c>
      <c r="B4" s="81" t="s">
        <v>45</v>
      </c>
      <c r="C4" s="74"/>
      <c r="D4" s="82">
        <v>0</v>
      </c>
      <c r="E4" s="83">
        <v>0.25</v>
      </c>
      <c r="F4" s="83">
        <v>0.5</v>
      </c>
      <c r="G4" s="83">
        <v>0.75</v>
      </c>
      <c r="H4" s="84">
        <v>1</v>
      </c>
      <c r="I4" s="74"/>
      <c r="J4" s="123">
        <v>0</v>
      </c>
      <c r="K4" s="122">
        <v>0.25</v>
      </c>
      <c r="L4" s="120">
        <v>0.5</v>
      </c>
      <c r="M4" s="120">
        <v>0.75</v>
      </c>
      <c r="N4" s="121">
        <v>1</v>
      </c>
      <c r="O4" s="74"/>
      <c r="P4" s="74"/>
      <c r="V4" s="74"/>
      <c r="W4" s="74"/>
    </row>
    <row r="5" spans="1:23" ht="16" thickBot="1" x14ac:dyDescent="0.25">
      <c r="A5" s="80" t="s">
        <v>0</v>
      </c>
      <c r="B5" s="81" t="s">
        <v>15</v>
      </c>
      <c r="C5" s="74"/>
      <c r="D5" s="85" t="s">
        <v>50</v>
      </c>
      <c r="E5" s="86">
        <v>4.0000000000000002E-4</v>
      </c>
      <c r="F5" s="70">
        <v>2.5000000000000001E-3</v>
      </c>
      <c r="G5" s="70">
        <v>3.2000000000000002E-3</v>
      </c>
      <c r="H5" s="102">
        <v>4.0000000000000001E-3</v>
      </c>
      <c r="I5" s="74"/>
      <c r="J5" s="100" t="s">
        <v>2</v>
      </c>
      <c r="K5" s="106">
        <f>$B$7</f>
        <v>1000000</v>
      </c>
      <c r="L5" s="106">
        <f t="shared" ref="L5:N5" si="0">$B$7</f>
        <v>1000000</v>
      </c>
      <c r="M5" s="106">
        <f t="shared" si="0"/>
        <v>1000000</v>
      </c>
      <c r="N5" s="106">
        <f t="shared" si="0"/>
        <v>1000000</v>
      </c>
      <c r="O5" s="74"/>
      <c r="P5" s="74"/>
      <c r="Q5" s="74"/>
      <c r="R5" s="74"/>
      <c r="S5" s="74"/>
      <c r="T5" s="74"/>
      <c r="U5" s="74"/>
      <c r="V5" s="74"/>
      <c r="W5" s="74"/>
    </row>
    <row r="6" spans="1:23" ht="16" thickBot="1" x14ac:dyDescent="0.25">
      <c r="A6" s="80" t="s">
        <v>1</v>
      </c>
      <c r="B6" s="81" t="s">
        <v>44</v>
      </c>
      <c r="C6" s="74"/>
      <c r="D6" s="85" t="s">
        <v>42</v>
      </c>
      <c r="E6" s="86">
        <f>E5</f>
        <v>4.0000000000000002E-4</v>
      </c>
      <c r="F6" s="87">
        <f>(F5*F4-E5*E4)/(F4-E4)</f>
        <v>4.5999999999999999E-3</v>
      </c>
      <c r="G6" s="87">
        <f t="shared" ref="G6:H6" si="1">(G5*G4-F5*F4)/(G4-F4)</f>
        <v>4.6000000000000008E-3</v>
      </c>
      <c r="H6" s="87">
        <f t="shared" si="1"/>
        <v>6.3999999999999994E-3</v>
      </c>
      <c r="I6" s="74"/>
      <c r="J6" s="101" t="s">
        <v>49</v>
      </c>
      <c r="K6" s="70">
        <f>E6</f>
        <v>4.0000000000000002E-4</v>
      </c>
      <c r="L6" s="70">
        <f t="shared" ref="L6:N6" si="2">F6</f>
        <v>4.5999999999999999E-3</v>
      </c>
      <c r="M6" s="70">
        <f t="shared" si="2"/>
        <v>4.6000000000000008E-3</v>
      </c>
      <c r="N6" s="70">
        <f t="shared" si="2"/>
        <v>6.3999999999999994E-3</v>
      </c>
      <c r="O6" s="74"/>
      <c r="P6" s="74"/>
      <c r="Q6" s="74"/>
      <c r="R6" s="74"/>
      <c r="S6" s="74"/>
      <c r="T6" s="74"/>
      <c r="U6" s="74"/>
      <c r="V6" s="74"/>
      <c r="W6" s="74"/>
    </row>
    <row r="7" spans="1:23" ht="16" thickBot="1" x14ac:dyDescent="0.25">
      <c r="A7" s="80" t="s">
        <v>46</v>
      </c>
      <c r="B7" s="88">
        <v>1000000</v>
      </c>
      <c r="C7" s="74"/>
      <c r="D7" s="85" t="s">
        <v>10</v>
      </c>
      <c r="E7" s="126">
        <v>0.99990000000000001</v>
      </c>
      <c r="F7" s="127">
        <f>EXP(-F5*F4)</f>
        <v>0.99875078092458092</v>
      </c>
      <c r="G7" s="127">
        <f t="shared" ref="G7:H7" si="3">EXP(-G5*G4)</f>
        <v>0.99760287769738176</v>
      </c>
      <c r="H7" s="127">
        <f t="shared" si="3"/>
        <v>0.99600798934399148</v>
      </c>
      <c r="I7" s="74"/>
      <c r="J7" s="101" t="s">
        <v>48</v>
      </c>
      <c r="K7" s="70">
        <f>$B$3</f>
        <v>3.8999999999999998E-3</v>
      </c>
      <c r="L7" s="70">
        <f t="shared" ref="L7:N7" si="4">$B$3</f>
        <v>3.8999999999999998E-3</v>
      </c>
      <c r="M7" s="70">
        <f t="shared" si="4"/>
        <v>3.8999999999999998E-3</v>
      </c>
      <c r="N7" s="70">
        <f t="shared" si="4"/>
        <v>3.8999999999999998E-3</v>
      </c>
      <c r="O7" s="74"/>
      <c r="P7" s="74"/>
      <c r="Q7" s="74"/>
      <c r="R7" s="74"/>
      <c r="S7" s="74"/>
      <c r="T7" s="74"/>
      <c r="U7" s="74"/>
      <c r="V7" s="74"/>
      <c r="W7" s="74"/>
    </row>
    <row r="8" spans="1:23" ht="16" thickBot="1" x14ac:dyDescent="0.25">
      <c r="A8" s="80" t="s">
        <v>62</v>
      </c>
      <c r="B8" s="81">
        <v>0.25</v>
      </c>
      <c r="C8" s="74"/>
      <c r="D8" s="85" t="s">
        <v>30</v>
      </c>
      <c r="E8" s="104">
        <f>EXP(-$B$9*D4)-EXP(-$B$9*E4)</f>
        <v>7.4719451808615833E-3</v>
      </c>
      <c r="F8" s="104">
        <f>EXP(-$B$9*E4)-EXP(-$B$9*F4)</f>
        <v>7.4161152160757693E-3</v>
      </c>
      <c r="G8" s="104">
        <f t="shared" ref="G8:H8" si="5">EXP(-$B$9*F4)-EXP(-$B$9*G4)</f>
        <v>7.3607024097263052E-3</v>
      </c>
      <c r="H8" s="104">
        <f t="shared" si="5"/>
        <v>7.3057036448281876E-3</v>
      </c>
      <c r="I8" s="74"/>
      <c r="J8" s="101" t="s">
        <v>18</v>
      </c>
      <c r="K8" s="135">
        <f>E7</f>
        <v>0.99990000000000001</v>
      </c>
      <c r="L8" s="135">
        <f t="shared" ref="L8:N8" si="6">F7</f>
        <v>0.99875078092458092</v>
      </c>
      <c r="M8" s="135">
        <f t="shared" si="6"/>
        <v>0.99760287769738176</v>
      </c>
      <c r="N8" s="135">
        <f t="shared" si="6"/>
        <v>0.99600798934399148</v>
      </c>
      <c r="O8" s="74"/>
      <c r="P8" s="74"/>
      <c r="Q8" s="74"/>
      <c r="R8" s="74"/>
      <c r="S8" s="74"/>
      <c r="T8" s="74"/>
      <c r="U8" s="74"/>
      <c r="V8" s="74"/>
      <c r="W8" s="74"/>
    </row>
    <row r="9" spans="1:23" ht="16" thickBot="1" x14ac:dyDescent="0.25">
      <c r="A9" s="80" t="s">
        <v>11</v>
      </c>
      <c r="B9" s="89">
        <v>0.03</v>
      </c>
      <c r="C9" s="74"/>
      <c r="D9" s="74"/>
      <c r="E9" s="74"/>
      <c r="F9" s="74"/>
      <c r="G9" s="74"/>
      <c r="H9" s="74"/>
      <c r="I9" s="74"/>
      <c r="J9" s="101" t="s">
        <v>19</v>
      </c>
      <c r="K9" s="115">
        <v>0.25</v>
      </c>
      <c r="L9" s="115">
        <v>0.25</v>
      </c>
      <c r="M9" s="115">
        <v>0.25</v>
      </c>
      <c r="N9" s="116">
        <v>0.25</v>
      </c>
      <c r="O9" s="72" t="s">
        <v>3</v>
      </c>
      <c r="P9" s="74"/>
      <c r="Q9" s="74"/>
      <c r="R9" s="74"/>
      <c r="S9" s="74"/>
      <c r="T9" s="74"/>
      <c r="U9" s="74"/>
      <c r="V9" s="74"/>
      <c r="W9" s="74"/>
    </row>
    <row r="10" spans="1:23" ht="16" thickBot="1" x14ac:dyDescent="0.25">
      <c r="A10" s="80" t="s">
        <v>12</v>
      </c>
      <c r="B10" s="89">
        <v>0.4</v>
      </c>
      <c r="C10" s="74"/>
      <c r="D10" s="90"/>
      <c r="E10" s="74"/>
      <c r="F10" s="74"/>
      <c r="G10" s="74"/>
      <c r="H10" s="74"/>
      <c r="I10" s="74"/>
      <c r="J10" s="72" t="s">
        <v>47</v>
      </c>
      <c r="K10" s="112">
        <f>K5*K9*K8*(K6-K7)</f>
        <v>-874.91249999999991</v>
      </c>
      <c r="L10" s="112">
        <f>L5*L9*L8*(L6-L7)</f>
        <v>174.78138666180169</v>
      </c>
      <c r="M10" s="112">
        <f t="shared" ref="L10:N10" si="7">M5*M9*M8*(M6-M7)</f>
        <v>174.58050359704205</v>
      </c>
      <c r="N10" s="112">
        <f t="shared" si="7"/>
        <v>622.5049933399946</v>
      </c>
      <c r="O10" s="111">
        <f>SUM(K10:N10)</f>
        <v>96.954383598838376</v>
      </c>
      <c r="P10" s="74"/>
      <c r="Q10" s="74"/>
      <c r="R10" s="74"/>
      <c r="S10" s="74"/>
      <c r="T10" s="74"/>
      <c r="U10" s="74"/>
      <c r="V10" s="74"/>
      <c r="W10" s="74"/>
    </row>
    <row r="11" spans="1:23" ht="16" thickBot="1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1:23" ht="16" thickBot="1" x14ac:dyDescent="0.25">
      <c r="A12" s="74"/>
      <c r="B12" s="74"/>
      <c r="C12" s="74"/>
      <c r="D12" s="74"/>
      <c r="E12" s="74"/>
      <c r="F12" s="74"/>
      <c r="G12" s="74"/>
      <c r="H12" s="74"/>
      <c r="I12" s="74"/>
      <c r="J12" s="75" t="s">
        <v>37</v>
      </c>
      <c r="K12" s="75"/>
      <c r="L12" s="75"/>
      <c r="M12" s="75"/>
      <c r="N12" s="99"/>
      <c r="O12" s="74"/>
      <c r="P12" s="74"/>
      <c r="Q12" s="74"/>
      <c r="R12" s="74"/>
      <c r="S12" s="74"/>
      <c r="T12" s="74"/>
      <c r="U12" s="74"/>
      <c r="V12" s="74"/>
      <c r="W12" s="74"/>
    </row>
    <row r="13" spans="1:23" ht="16" thickBot="1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2" t="s">
        <v>3</v>
      </c>
      <c r="K13" s="78" t="s">
        <v>4</v>
      </c>
      <c r="L13" s="78" t="s">
        <v>5</v>
      </c>
      <c r="M13" s="78" t="s">
        <v>6</v>
      </c>
      <c r="N13" s="79" t="s">
        <v>7</v>
      </c>
      <c r="O13" s="74"/>
      <c r="P13" s="74"/>
      <c r="Q13" s="74"/>
      <c r="R13" s="74"/>
      <c r="S13" s="74"/>
      <c r="T13" s="74"/>
      <c r="U13" s="74"/>
      <c r="V13" s="74"/>
      <c r="W13" s="74"/>
    </row>
    <row r="14" spans="1:23" ht="16" thickBot="1" x14ac:dyDescent="0.25">
      <c r="A14" s="74"/>
      <c r="B14" s="74"/>
      <c r="C14" s="74"/>
      <c r="D14" s="74"/>
      <c r="E14" s="74"/>
      <c r="F14" s="74"/>
      <c r="G14" s="74"/>
      <c r="H14" s="74"/>
      <c r="I14" s="74"/>
      <c r="J14" s="105">
        <v>0</v>
      </c>
      <c r="K14" s="108"/>
      <c r="L14" s="120">
        <f>L4</f>
        <v>0.5</v>
      </c>
      <c r="M14" s="120">
        <f t="shared" ref="M14:N14" si="8">M4</f>
        <v>0.75</v>
      </c>
      <c r="N14" s="120">
        <f t="shared" si="8"/>
        <v>1</v>
      </c>
      <c r="O14" s="74"/>
      <c r="P14" s="74"/>
      <c r="Q14" s="74"/>
      <c r="R14" s="74"/>
      <c r="S14" s="74"/>
      <c r="T14" s="74"/>
      <c r="U14" s="74"/>
      <c r="V14" s="74"/>
      <c r="W14" s="74"/>
    </row>
    <row r="15" spans="1:23" ht="16" thickBot="1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100" t="s">
        <v>2</v>
      </c>
      <c r="K15" s="106"/>
      <c r="L15" s="124">
        <f>$B$7</f>
        <v>1000000</v>
      </c>
      <c r="M15" s="124">
        <f t="shared" ref="M15:N15" si="9">$B$7</f>
        <v>1000000</v>
      </c>
      <c r="N15" s="124">
        <f t="shared" si="9"/>
        <v>1000000</v>
      </c>
      <c r="O15" s="74"/>
      <c r="P15" s="74"/>
      <c r="Q15" s="74"/>
      <c r="R15" s="74"/>
      <c r="S15" s="74"/>
      <c r="T15" s="74"/>
      <c r="U15" s="74"/>
      <c r="V15" s="74"/>
      <c r="W15" s="74"/>
    </row>
    <row r="16" spans="1:23" ht="16" thickBot="1" x14ac:dyDescent="0.25">
      <c r="A16" s="75" t="s">
        <v>39</v>
      </c>
      <c r="B16" s="75"/>
      <c r="C16" s="75"/>
      <c r="D16" s="75"/>
      <c r="E16" s="75"/>
      <c r="F16" s="74"/>
      <c r="G16" s="74"/>
      <c r="H16" s="74"/>
      <c r="I16" s="74"/>
      <c r="J16" s="101" t="s">
        <v>49</v>
      </c>
      <c r="K16" s="70"/>
      <c r="L16" s="125">
        <f>L6</f>
        <v>4.5999999999999999E-3</v>
      </c>
      <c r="M16" s="125">
        <f t="shared" ref="M16:N16" si="10">M6</f>
        <v>4.6000000000000008E-3</v>
      </c>
      <c r="N16" s="125">
        <f t="shared" si="10"/>
        <v>6.3999999999999994E-3</v>
      </c>
      <c r="O16" s="74"/>
      <c r="P16" s="74"/>
      <c r="Q16" s="74"/>
      <c r="R16" s="74"/>
      <c r="S16" s="74"/>
      <c r="T16" s="74"/>
      <c r="U16" s="74"/>
      <c r="V16" s="74"/>
      <c r="W16" s="74"/>
    </row>
    <row r="17" spans="1:23" ht="16" thickBot="1" x14ac:dyDescent="0.25">
      <c r="A17" s="72"/>
      <c r="B17" s="78" t="s">
        <v>52</v>
      </c>
      <c r="C17" s="78" t="s">
        <v>53</v>
      </c>
      <c r="D17" s="78" t="s">
        <v>54</v>
      </c>
      <c r="E17" s="79" t="s">
        <v>55</v>
      </c>
      <c r="F17" s="74"/>
      <c r="G17" s="74"/>
      <c r="H17" s="74"/>
      <c r="I17" s="74"/>
      <c r="J17" s="101" t="s">
        <v>48</v>
      </c>
      <c r="K17" s="70"/>
      <c r="L17" s="125">
        <f>L7</f>
        <v>3.8999999999999998E-3</v>
      </c>
      <c r="M17" s="125">
        <f t="shared" ref="M17:N17" si="11">M7</f>
        <v>3.8999999999999998E-3</v>
      </c>
      <c r="N17" s="125">
        <f t="shared" si="11"/>
        <v>3.8999999999999998E-3</v>
      </c>
      <c r="O17" s="74"/>
      <c r="P17" s="74"/>
      <c r="Q17" s="74"/>
      <c r="R17" s="74"/>
      <c r="S17" s="74"/>
      <c r="T17" s="74"/>
      <c r="U17" s="74"/>
      <c r="V17" s="74"/>
      <c r="W17" s="74"/>
    </row>
    <row r="18" spans="1:23" ht="16" thickBot="1" x14ac:dyDescent="0.25">
      <c r="A18" s="73" t="s">
        <v>56</v>
      </c>
      <c r="B18" s="91">
        <f>AVERAGE(B29:C29)</f>
        <v>534.45922937276646</v>
      </c>
      <c r="C18" s="91">
        <f>AVERAGE(C29:D29)</f>
        <v>885.02327596874807</v>
      </c>
      <c r="D18" s="91">
        <f>AVERAGE(D29:E29)</f>
        <v>711.04163818215261</v>
      </c>
      <c r="E18" s="91">
        <f>AVERAGE(E29:F29)</f>
        <v>312.00039978675193</v>
      </c>
      <c r="F18" s="74"/>
      <c r="G18" s="74"/>
      <c r="H18" s="74"/>
      <c r="I18" s="74"/>
      <c r="J18" s="101" t="s">
        <v>18</v>
      </c>
      <c r="K18" s="71"/>
      <c r="L18" s="136">
        <f>EXP(-F6*($B$8))</f>
        <v>0.9988506609965937</v>
      </c>
      <c r="M18" s="136">
        <f>EXP(-G6*($B$8))*L18</f>
        <v>0.99770264297333211</v>
      </c>
      <c r="N18" s="136">
        <f>EXP(-H6*($B$8))*M18</f>
        <v>0.99610759512313185</v>
      </c>
      <c r="O18" s="74"/>
      <c r="P18" s="74"/>
      <c r="Q18" s="74"/>
      <c r="R18" s="74"/>
      <c r="S18" s="74"/>
      <c r="T18" s="74"/>
      <c r="U18" s="74"/>
      <c r="V18" s="74"/>
      <c r="W18" s="74"/>
    </row>
    <row r="19" spans="1:23" ht="16" thickBot="1" x14ac:dyDescent="0.25">
      <c r="A19" s="92" t="s">
        <v>57</v>
      </c>
      <c r="B19" s="93">
        <f>(1-$B$10)</f>
        <v>0.6</v>
      </c>
      <c r="C19" s="93">
        <f t="shared" ref="C19:E19" si="12">(1-$B$10)</f>
        <v>0.6</v>
      </c>
      <c r="D19" s="93">
        <f t="shared" si="12"/>
        <v>0.6</v>
      </c>
      <c r="E19" s="93">
        <f t="shared" si="12"/>
        <v>0.6</v>
      </c>
      <c r="F19" s="74"/>
      <c r="G19" s="74"/>
      <c r="H19" s="74"/>
      <c r="I19" s="74"/>
      <c r="J19" s="101" t="s">
        <v>19</v>
      </c>
      <c r="K19" s="115"/>
      <c r="L19" s="109">
        <f t="shared" ref="L19:N19" si="13">L9</f>
        <v>0.25</v>
      </c>
      <c r="M19" s="109">
        <f t="shared" si="13"/>
        <v>0.25</v>
      </c>
      <c r="N19" s="109">
        <f t="shared" si="13"/>
        <v>0.25</v>
      </c>
      <c r="O19" s="72" t="s">
        <v>4</v>
      </c>
      <c r="P19" s="74"/>
      <c r="Q19" s="74"/>
      <c r="R19" s="74"/>
      <c r="S19" s="74"/>
      <c r="T19" s="74"/>
      <c r="U19" s="74"/>
      <c r="V19" s="74"/>
      <c r="W19" s="74"/>
    </row>
    <row r="20" spans="1:23" ht="16" thickBot="1" x14ac:dyDescent="0.25">
      <c r="A20" s="92" t="s">
        <v>58</v>
      </c>
      <c r="B20" s="94">
        <f>(1+E7)/2</f>
        <v>0.99995000000000001</v>
      </c>
      <c r="C20" s="94">
        <f t="shared" ref="C20:E20" si="14">(1+F7)/2</f>
        <v>0.9993753904622904</v>
      </c>
      <c r="D20" s="94">
        <f t="shared" si="14"/>
        <v>0.99880143884869088</v>
      </c>
      <c r="E20" s="94">
        <f t="shared" si="14"/>
        <v>0.99800399467199574</v>
      </c>
      <c r="F20" s="74"/>
      <c r="G20" s="74"/>
      <c r="H20" s="74"/>
      <c r="I20" s="74"/>
      <c r="J20" s="72" t="s">
        <v>47</v>
      </c>
      <c r="K20" s="117"/>
      <c r="L20" s="118">
        <f>L15*L19*L18*(L16-L17)</f>
        <v>174.79886567440391</v>
      </c>
      <c r="M20" s="118">
        <f t="shared" ref="M20:N20" si="15">M15*M19*M18*(M16-M17)</f>
        <v>174.59796252033337</v>
      </c>
      <c r="N20" s="118">
        <f t="shared" si="15"/>
        <v>622.56724695195737</v>
      </c>
      <c r="O20" s="119">
        <f>SUM(L20:N20)</f>
        <v>971.96407514669465</v>
      </c>
      <c r="P20" s="74"/>
      <c r="Q20" s="74"/>
      <c r="R20" s="74"/>
      <c r="S20" s="74"/>
      <c r="T20" s="74"/>
      <c r="U20" s="74"/>
      <c r="V20" s="74"/>
      <c r="W20" s="74"/>
    </row>
    <row r="21" spans="1:23" ht="16" thickBot="1" x14ac:dyDescent="0.25">
      <c r="A21" s="92" t="s">
        <v>59</v>
      </c>
      <c r="B21" s="95">
        <f>E8</f>
        <v>7.4719451808615833E-3</v>
      </c>
      <c r="C21" s="95">
        <f t="shared" ref="C21:E21" si="16">F8</f>
        <v>7.4161152160757693E-3</v>
      </c>
      <c r="D21" s="95">
        <f t="shared" si="16"/>
        <v>7.3607024097263052E-3</v>
      </c>
      <c r="E21" s="95">
        <f t="shared" si="16"/>
        <v>7.3057036448281876E-3</v>
      </c>
      <c r="F21" s="74"/>
      <c r="G21" s="74"/>
      <c r="H21" s="74"/>
      <c r="I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1:23" ht="16" thickBot="1" x14ac:dyDescent="0.25">
      <c r="A22" s="92" t="s">
        <v>60</v>
      </c>
      <c r="B22" s="96">
        <f>B18*B19*B20*B21</f>
        <v>2.3959502344654044</v>
      </c>
      <c r="C22" s="96">
        <f t="shared" ref="C22:E22" si="17">C18*C19*C20*C21</f>
        <v>3.9356009997912449</v>
      </c>
      <c r="D22" s="96">
        <f t="shared" si="17"/>
        <v>3.1364957466604939</v>
      </c>
      <c r="E22" s="96">
        <f t="shared" si="17"/>
        <v>1.3648996790276264</v>
      </c>
      <c r="F22" s="74"/>
      <c r="G22" s="74"/>
      <c r="H22" s="74"/>
      <c r="I22" s="74"/>
      <c r="J22" s="75" t="s">
        <v>37</v>
      </c>
      <c r="K22" s="75"/>
      <c r="L22" s="75"/>
      <c r="M22" s="75"/>
      <c r="N22" s="99"/>
      <c r="O22" s="74"/>
      <c r="P22" s="74"/>
      <c r="Q22" s="74"/>
      <c r="R22" s="74"/>
      <c r="S22" s="74"/>
      <c r="T22" s="74"/>
      <c r="U22" s="74"/>
      <c r="V22" s="74"/>
      <c r="W22" s="74"/>
    </row>
    <row r="23" spans="1:23" ht="16" thickBot="1" x14ac:dyDescent="0.25">
      <c r="A23" s="97" t="s">
        <v>61</v>
      </c>
      <c r="B23" s="98">
        <f>SUM(B22:E22)</f>
        <v>10.832946659944769</v>
      </c>
      <c r="C23" s="74"/>
      <c r="D23" s="74"/>
      <c r="E23" s="74"/>
      <c r="F23" s="74"/>
      <c r="G23" s="74"/>
      <c r="H23" s="74"/>
      <c r="I23" s="74"/>
      <c r="J23" s="72" t="s">
        <v>3</v>
      </c>
      <c r="K23" s="78" t="s">
        <v>4</v>
      </c>
      <c r="L23" s="78" t="s">
        <v>5</v>
      </c>
      <c r="M23" s="78" t="s">
        <v>6</v>
      </c>
      <c r="N23" s="79" t="s">
        <v>7</v>
      </c>
      <c r="O23" s="74"/>
      <c r="P23" s="74"/>
      <c r="Q23" s="74"/>
      <c r="R23" s="74"/>
      <c r="S23" s="74"/>
      <c r="T23" s="74"/>
      <c r="U23" s="74"/>
      <c r="V23" s="74"/>
      <c r="W23" s="74"/>
    </row>
    <row r="24" spans="1:23" ht="16" thickBot="1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105">
        <v>0</v>
      </c>
      <c r="K24" s="108"/>
      <c r="L24" s="109"/>
      <c r="M24" s="120">
        <f>M4</f>
        <v>0.75</v>
      </c>
      <c r="N24" s="120">
        <f>N4</f>
        <v>1</v>
      </c>
      <c r="O24" s="74"/>
      <c r="P24" s="74"/>
      <c r="Q24" s="74"/>
      <c r="R24" s="74"/>
      <c r="S24" s="74"/>
      <c r="T24" s="74"/>
      <c r="U24" s="74"/>
      <c r="V24" s="74"/>
      <c r="W24" s="74"/>
    </row>
    <row r="25" spans="1:23" ht="16" thickBot="1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100" t="s">
        <v>2</v>
      </c>
      <c r="K25" s="106"/>
      <c r="L25" s="106"/>
      <c r="M25" s="106">
        <f>$B$7</f>
        <v>1000000</v>
      </c>
      <c r="N25" s="106">
        <f>$B$7</f>
        <v>1000000</v>
      </c>
      <c r="O25" s="74"/>
      <c r="P25" s="74"/>
      <c r="Q25" s="74"/>
      <c r="R25" s="74"/>
      <c r="S25" s="74"/>
      <c r="T25" s="74"/>
      <c r="U25" s="74"/>
      <c r="V25" s="74"/>
      <c r="W25" s="74"/>
    </row>
    <row r="26" spans="1:23" ht="16" thickBot="1" x14ac:dyDescent="0.25">
      <c r="A26" s="74"/>
      <c r="B26" s="75" t="s">
        <v>38</v>
      </c>
      <c r="C26" s="75"/>
      <c r="D26" s="75"/>
      <c r="E26" s="75"/>
      <c r="F26" s="99"/>
      <c r="G26" s="74"/>
      <c r="H26" s="74"/>
      <c r="I26" s="74"/>
      <c r="J26" s="101" t="s">
        <v>49</v>
      </c>
      <c r="K26" s="70"/>
      <c r="L26" s="70"/>
      <c r="M26" s="102">
        <f>M6</f>
        <v>4.6000000000000008E-3</v>
      </c>
      <c r="N26" s="102">
        <f>N6</f>
        <v>6.3999999999999994E-3</v>
      </c>
      <c r="O26" s="74"/>
      <c r="P26" s="74"/>
      <c r="Q26" s="74"/>
      <c r="R26" s="74"/>
      <c r="S26" s="74"/>
      <c r="T26" s="74"/>
      <c r="U26" s="74"/>
      <c r="V26" s="74"/>
      <c r="W26" s="74"/>
    </row>
    <row r="27" spans="1:23" ht="16" thickBot="1" x14ac:dyDescent="0.25">
      <c r="A27" s="74"/>
      <c r="B27" s="128" t="s">
        <v>3</v>
      </c>
      <c r="C27" s="78" t="s">
        <v>4</v>
      </c>
      <c r="D27" s="78" t="s">
        <v>5</v>
      </c>
      <c r="E27" s="78" t="s">
        <v>6</v>
      </c>
      <c r="F27" s="79" t="s">
        <v>7</v>
      </c>
      <c r="G27" s="74"/>
      <c r="H27" s="74"/>
      <c r="I27" s="74"/>
      <c r="J27" s="101" t="s">
        <v>48</v>
      </c>
      <c r="K27" s="70"/>
      <c r="L27" s="70"/>
      <c r="M27" s="70">
        <f>M7</f>
        <v>3.8999999999999998E-3</v>
      </c>
      <c r="N27" s="70">
        <f>N7</f>
        <v>3.8999999999999998E-3</v>
      </c>
      <c r="O27" s="74"/>
      <c r="P27" s="74"/>
      <c r="Q27" s="74"/>
      <c r="R27" s="74"/>
      <c r="S27" s="74"/>
      <c r="T27" s="74"/>
      <c r="U27" s="74"/>
      <c r="V27" s="74"/>
      <c r="W27" s="74"/>
    </row>
    <row r="28" spans="1:23" ht="16" thickBot="1" x14ac:dyDescent="0.25">
      <c r="A28" s="74"/>
      <c r="B28" s="132">
        <v>0</v>
      </c>
      <c r="C28" s="133">
        <v>0.25</v>
      </c>
      <c r="D28" s="133">
        <v>0.5</v>
      </c>
      <c r="E28" s="133">
        <v>0.75</v>
      </c>
      <c r="F28" s="134">
        <v>1</v>
      </c>
      <c r="G28" s="74"/>
      <c r="H28" s="74"/>
      <c r="I28" s="74"/>
      <c r="J28" s="101" t="s">
        <v>18</v>
      </c>
      <c r="K28" s="71"/>
      <c r="L28" s="71"/>
      <c r="M28" s="137">
        <f>EXP(-G6*($B$8))</f>
        <v>0.9988506609965937</v>
      </c>
      <c r="N28" s="137">
        <f>EXP(-H6*($B$8))*M28</f>
        <v>0.99725377778623592</v>
      </c>
      <c r="O28" s="74"/>
      <c r="P28" s="74"/>
      <c r="Q28" s="74"/>
      <c r="R28" s="74"/>
      <c r="S28" s="74"/>
      <c r="T28" s="74"/>
      <c r="U28" s="74"/>
      <c r="V28" s="74"/>
      <c r="W28" s="74"/>
    </row>
    <row r="29" spans="1:23" ht="16" thickBot="1" x14ac:dyDescent="0.25">
      <c r="A29" s="74"/>
      <c r="B29" s="129">
        <f>MAX(O10,0)</f>
        <v>96.954383598838376</v>
      </c>
      <c r="C29" s="130">
        <f>MAX(O20,0)</f>
        <v>971.96407514669465</v>
      </c>
      <c r="D29" s="130">
        <f>MAX(O30,0)</f>
        <v>798.08247679080148</v>
      </c>
      <c r="E29" s="130">
        <f>MAX(O40,0)</f>
        <v>624.00079957350385</v>
      </c>
      <c r="F29" s="131">
        <f>MAX(O50,0)</f>
        <v>0</v>
      </c>
      <c r="G29" s="74"/>
      <c r="H29" s="74"/>
      <c r="I29" s="74"/>
      <c r="J29" s="101" t="s">
        <v>19</v>
      </c>
      <c r="K29" s="115"/>
      <c r="L29" s="115"/>
      <c r="M29" s="115">
        <f>M9</f>
        <v>0.25</v>
      </c>
      <c r="N29" s="115">
        <f>N9</f>
        <v>0.25</v>
      </c>
      <c r="O29" s="72" t="s">
        <v>5</v>
      </c>
      <c r="P29" s="74"/>
      <c r="Q29" s="74"/>
      <c r="R29" s="74"/>
      <c r="S29" s="74"/>
      <c r="T29" s="74"/>
      <c r="U29" s="74"/>
      <c r="V29" s="74"/>
      <c r="W29" s="74"/>
    </row>
    <row r="30" spans="1:23" ht="16" thickBot="1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2" t="s">
        <v>47</v>
      </c>
      <c r="K30" s="112"/>
      <c r="L30" s="113"/>
      <c r="M30" s="113">
        <f>M25*M29*M28*(M26-M27)</f>
        <v>174.79886567440414</v>
      </c>
      <c r="N30" s="113">
        <f>N25*N29*N28*(N26-N27)</f>
        <v>623.28361111639731</v>
      </c>
      <c r="O30" s="114">
        <f>SUM(M30:N30)</f>
        <v>798.08247679080148</v>
      </c>
      <c r="P30" s="74"/>
      <c r="Q30" s="74"/>
      <c r="R30" s="74"/>
      <c r="S30" s="74"/>
      <c r="T30" s="74"/>
      <c r="U30" s="74"/>
      <c r="V30" s="74"/>
      <c r="W30" s="74"/>
    </row>
    <row r="31" spans="1:23" ht="16" thickBot="1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</row>
    <row r="32" spans="1:23" ht="16" thickBot="1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5" t="s">
        <v>37</v>
      </c>
      <c r="K32" s="75"/>
      <c r="L32" s="75"/>
      <c r="M32" s="75"/>
      <c r="N32" s="99"/>
      <c r="O32" s="74"/>
      <c r="P32" s="74"/>
      <c r="Q32" s="74"/>
      <c r="R32" s="74"/>
      <c r="S32" s="74"/>
      <c r="T32" s="74"/>
      <c r="U32" s="74"/>
      <c r="V32" s="74"/>
      <c r="W32" s="74"/>
    </row>
    <row r="33" spans="1:23" ht="16" thickBot="1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2" t="s">
        <v>3</v>
      </c>
      <c r="K33" s="78" t="s">
        <v>4</v>
      </c>
      <c r="L33" s="78" t="s">
        <v>5</v>
      </c>
      <c r="M33" s="78" t="s">
        <v>6</v>
      </c>
      <c r="N33" s="79" t="s">
        <v>7</v>
      </c>
      <c r="O33" s="74"/>
      <c r="P33" s="74"/>
      <c r="V33" s="74"/>
      <c r="W33" s="74"/>
    </row>
    <row r="34" spans="1:23" ht="16" thickBot="1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105">
        <v>0</v>
      </c>
      <c r="K34" s="108"/>
      <c r="L34" s="109"/>
      <c r="M34" s="109"/>
      <c r="N34" s="121">
        <f>N4</f>
        <v>1</v>
      </c>
      <c r="O34" s="74"/>
      <c r="P34" s="74"/>
      <c r="W34" s="74"/>
    </row>
    <row r="35" spans="1:23" x14ac:dyDescent="0.2">
      <c r="A35" s="74"/>
      <c r="B35" s="74"/>
      <c r="C35" s="74"/>
      <c r="D35" s="74"/>
      <c r="E35" s="74"/>
      <c r="F35" s="74"/>
      <c r="G35" s="74"/>
      <c r="H35" s="74"/>
      <c r="I35" s="74"/>
      <c r="J35" s="100" t="s">
        <v>2</v>
      </c>
      <c r="K35" s="106"/>
      <c r="L35" s="106"/>
      <c r="M35" s="106"/>
      <c r="N35" s="107">
        <f>$B$7</f>
        <v>1000000</v>
      </c>
      <c r="O35" s="74"/>
      <c r="P35" s="74"/>
      <c r="W35" s="74"/>
    </row>
    <row r="36" spans="1:23" x14ac:dyDescent="0.2">
      <c r="A36" s="74"/>
      <c r="B36" s="74"/>
      <c r="C36" s="74"/>
      <c r="D36" s="74"/>
      <c r="E36" s="74"/>
      <c r="F36" s="74"/>
      <c r="G36" s="74"/>
      <c r="H36" s="74"/>
      <c r="I36" s="74"/>
      <c r="J36" s="101" t="s">
        <v>49</v>
      </c>
      <c r="K36" s="70"/>
      <c r="L36" s="70"/>
      <c r="M36" s="70"/>
      <c r="N36" s="102">
        <f>N6</f>
        <v>6.3999999999999994E-3</v>
      </c>
      <c r="O36" s="74"/>
      <c r="P36" s="74"/>
      <c r="W36" s="74"/>
    </row>
    <row r="37" spans="1:23" x14ac:dyDescent="0.2">
      <c r="A37" s="74"/>
      <c r="B37" s="74"/>
      <c r="C37" s="74"/>
      <c r="D37" s="74"/>
      <c r="E37" s="74"/>
      <c r="F37" s="74"/>
      <c r="G37" s="74"/>
      <c r="H37" s="74"/>
      <c r="I37" s="74"/>
      <c r="J37" s="101" t="s">
        <v>48</v>
      </c>
      <c r="K37" s="70"/>
      <c r="L37" s="70"/>
      <c r="M37" s="70"/>
      <c r="N37" s="102">
        <f>N7</f>
        <v>3.8999999999999998E-3</v>
      </c>
      <c r="O37" s="74"/>
      <c r="P37" s="74"/>
      <c r="W37" s="74"/>
    </row>
    <row r="38" spans="1:23" ht="16" thickBot="1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101" t="s">
        <v>18</v>
      </c>
      <c r="K38" s="71"/>
      <c r="L38" s="71"/>
      <c r="M38" s="71"/>
      <c r="N38" s="138">
        <f>EXP(-H6*(0.25))</f>
        <v>0.99840127931760636</v>
      </c>
      <c r="O38" s="74"/>
      <c r="P38" s="74"/>
      <c r="W38" s="74"/>
    </row>
    <row r="39" spans="1:23" ht="16" thickBot="1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101" t="s">
        <v>19</v>
      </c>
      <c r="K39" s="115"/>
      <c r="L39" s="115"/>
      <c r="M39" s="115"/>
      <c r="N39" s="116">
        <f>N9</f>
        <v>0.25</v>
      </c>
      <c r="O39" s="72" t="s">
        <v>6</v>
      </c>
      <c r="P39" s="74"/>
      <c r="W39" s="74"/>
    </row>
    <row r="40" spans="1:23" ht="16" thickBot="1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2" t="s">
        <v>47</v>
      </c>
      <c r="K40" s="112"/>
      <c r="L40" s="113"/>
      <c r="M40" s="113"/>
      <c r="N40" s="113">
        <f>N35*N39*N38*(N36-N37)</f>
        <v>624.00079957350385</v>
      </c>
      <c r="O40" s="114">
        <f>SUM(N40)</f>
        <v>624.00079957350385</v>
      </c>
      <c r="P40" s="74"/>
      <c r="W40" s="74"/>
    </row>
    <row r="41" spans="1:23" ht="16" thickBot="1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W41" s="74"/>
    </row>
    <row r="42" spans="1:23" ht="16" thickBot="1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5" t="s">
        <v>37</v>
      </c>
      <c r="K42" s="75"/>
      <c r="L42" s="75"/>
      <c r="M42" s="75"/>
      <c r="N42" s="99"/>
      <c r="O42" s="74"/>
      <c r="P42" s="74"/>
      <c r="W42" s="74"/>
    </row>
    <row r="43" spans="1:23" ht="16" thickBot="1" x14ac:dyDescent="0.25">
      <c r="J43" s="72" t="s">
        <v>3</v>
      </c>
      <c r="K43" s="78" t="s">
        <v>4</v>
      </c>
      <c r="L43" s="78" t="s">
        <v>5</v>
      </c>
      <c r="M43" s="78" t="s">
        <v>6</v>
      </c>
      <c r="N43" s="79" t="s">
        <v>7</v>
      </c>
      <c r="O43" s="74"/>
    </row>
    <row r="44" spans="1:23" ht="16" thickBot="1" x14ac:dyDescent="0.25">
      <c r="J44" s="105">
        <v>0</v>
      </c>
      <c r="K44" s="108"/>
      <c r="L44" s="109"/>
      <c r="M44" s="109"/>
      <c r="N44" s="110"/>
      <c r="O44" s="74"/>
    </row>
    <row r="45" spans="1:23" x14ac:dyDescent="0.2">
      <c r="J45" s="100" t="s">
        <v>2</v>
      </c>
      <c r="K45" s="106"/>
      <c r="L45" s="106"/>
      <c r="M45" s="106"/>
      <c r="N45" s="107"/>
      <c r="O45" s="74"/>
    </row>
    <row r="46" spans="1:23" x14ac:dyDescent="0.2">
      <c r="J46" s="101" t="s">
        <v>49</v>
      </c>
      <c r="K46" s="70"/>
      <c r="L46" s="70"/>
      <c r="M46" s="70"/>
      <c r="N46" s="102"/>
      <c r="O46" s="74"/>
    </row>
    <row r="47" spans="1:23" x14ac:dyDescent="0.2">
      <c r="J47" s="101" t="s">
        <v>48</v>
      </c>
      <c r="K47" s="70"/>
      <c r="L47" s="70"/>
      <c r="M47" s="70"/>
      <c r="N47" s="102"/>
      <c r="O47" s="74"/>
    </row>
    <row r="48" spans="1:23" ht="16" thickBot="1" x14ac:dyDescent="0.25">
      <c r="J48" s="101" t="s">
        <v>18</v>
      </c>
      <c r="K48" s="71"/>
      <c r="L48" s="71"/>
      <c r="M48" s="71"/>
      <c r="N48" s="103"/>
      <c r="O48" s="74"/>
    </row>
    <row r="49" spans="10:15" ht="16" thickBot="1" x14ac:dyDescent="0.25">
      <c r="J49" s="101" t="s">
        <v>19</v>
      </c>
      <c r="K49" s="115"/>
      <c r="L49" s="115"/>
      <c r="M49" s="115"/>
      <c r="N49" s="116"/>
      <c r="O49" s="72" t="s">
        <v>7</v>
      </c>
    </row>
    <row r="50" spans="10:15" ht="16" thickBot="1" x14ac:dyDescent="0.25">
      <c r="J50" s="72" t="s">
        <v>47</v>
      </c>
      <c r="K50" s="112"/>
      <c r="L50" s="113"/>
      <c r="M50" s="113"/>
      <c r="N50" s="113">
        <f>N45*N49*N48*(N46-N47)</f>
        <v>0</v>
      </c>
      <c r="O50" s="114">
        <f>SUM(N50)</f>
        <v>0</v>
      </c>
    </row>
  </sheetData>
  <pageMargins left="0.7" right="0.7" top="0.75" bottom="0.75" header="0.3" footer="0.3"/>
  <ignoredErrors>
    <ignoredError sqref="N38 L15:N15 M25:N25 N35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0"/>
  <sheetViews>
    <sheetView tabSelected="1" workbookViewId="0">
      <selection activeCell="G27" sqref="G27"/>
    </sheetView>
  </sheetViews>
  <sheetFormatPr baseColWidth="10" defaultRowHeight="15" x14ac:dyDescent="0.2"/>
  <cols>
    <col min="1" max="1" width="10.83203125" style="62"/>
    <col min="2" max="2" width="12.6640625" style="62" customWidth="1"/>
    <col min="3" max="8" width="11" style="62" bestFit="1" customWidth="1"/>
    <col min="9" max="9" width="10" style="62" customWidth="1"/>
    <col min="10" max="10" width="11.6640625" style="62" customWidth="1"/>
    <col min="11" max="13" width="12.6640625" style="62" bestFit="1" customWidth="1"/>
    <col min="14" max="14" width="12.83203125" style="62" bestFit="1" customWidth="1"/>
    <col min="15" max="16" width="9.33203125" style="62" customWidth="1"/>
    <col min="17" max="16384" width="10.83203125" style="62"/>
  </cols>
  <sheetData>
    <row r="1" spans="1:23" ht="16" thickBot="1" x14ac:dyDescent="0.25">
      <c r="A1" s="74"/>
      <c r="B1" s="74"/>
      <c r="C1" s="74"/>
      <c r="D1" s="74">
        <v>0</v>
      </c>
      <c r="E1" s="74">
        <v>3</v>
      </c>
      <c r="F1" s="74">
        <v>6</v>
      </c>
      <c r="G1" s="74">
        <v>9</v>
      </c>
      <c r="H1" s="74">
        <v>12</v>
      </c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</row>
    <row r="2" spans="1:23" ht="16" thickBot="1" x14ac:dyDescent="0.25">
      <c r="A2" s="75" t="s">
        <v>35</v>
      </c>
      <c r="B2" s="76"/>
      <c r="C2" s="74"/>
      <c r="D2" s="75" t="s">
        <v>36</v>
      </c>
      <c r="E2" s="75"/>
      <c r="F2" s="75"/>
      <c r="G2" s="75"/>
      <c r="H2" s="99"/>
      <c r="I2" s="74"/>
      <c r="J2" s="75" t="s">
        <v>37</v>
      </c>
      <c r="K2" s="75"/>
      <c r="L2" s="75"/>
      <c r="M2" s="75"/>
      <c r="N2" s="99"/>
      <c r="O2" s="74"/>
      <c r="P2" s="74"/>
      <c r="V2" s="74"/>
      <c r="W2" s="74"/>
    </row>
    <row r="3" spans="1:23" ht="16" thickBot="1" x14ac:dyDescent="0.25">
      <c r="A3" s="72" t="s">
        <v>34</v>
      </c>
      <c r="B3" s="77">
        <v>3.8999999999999998E-3</v>
      </c>
      <c r="C3" s="74"/>
      <c r="D3" s="72" t="s">
        <v>3</v>
      </c>
      <c r="E3" s="78" t="s">
        <v>4</v>
      </c>
      <c r="F3" s="78" t="s">
        <v>5</v>
      </c>
      <c r="G3" s="78" t="s">
        <v>6</v>
      </c>
      <c r="H3" s="79" t="s">
        <v>7</v>
      </c>
      <c r="I3" s="74"/>
      <c r="J3" s="72" t="s">
        <v>3</v>
      </c>
      <c r="K3" s="78" t="s">
        <v>4</v>
      </c>
      <c r="L3" s="78" t="s">
        <v>5</v>
      </c>
      <c r="M3" s="78" t="s">
        <v>6</v>
      </c>
      <c r="N3" s="79" t="s">
        <v>7</v>
      </c>
      <c r="O3" s="74"/>
      <c r="P3" s="74"/>
      <c r="V3" s="74"/>
      <c r="W3" s="74"/>
    </row>
    <row r="4" spans="1:23" ht="16" thickBot="1" x14ac:dyDescent="0.25">
      <c r="A4" s="80" t="s">
        <v>40</v>
      </c>
      <c r="B4" s="81" t="s">
        <v>45</v>
      </c>
      <c r="C4" s="74"/>
      <c r="D4" s="82">
        <v>0</v>
      </c>
      <c r="E4" s="83">
        <v>0.25</v>
      </c>
      <c r="F4" s="83">
        <v>0.5</v>
      </c>
      <c r="G4" s="83">
        <v>0.75</v>
      </c>
      <c r="H4" s="84">
        <v>1</v>
      </c>
      <c r="I4" s="74"/>
      <c r="J4" s="123">
        <v>0</v>
      </c>
      <c r="K4" s="122">
        <v>0.25</v>
      </c>
      <c r="L4" s="120">
        <v>0.5</v>
      </c>
      <c r="M4" s="120">
        <v>0.75</v>
      </c>
      <c r="N4" s="121">
        <v>1</v>
      </c>
      <c r="O4" s="74"/>
      <c r="P4" s="74"/>
      <c r="V4" s="74"/>
      <c r="W4" s="74"/>
    </row>
    <row r="5" spans="1:23" ht="16" thickBot="1" x14ac:dyDescent="0.25">
      <c r="A5" s="80" t="s">
        <v>0</v>
      </c>
      <c r="B5" s="81" t="s">
        <v>15</v>
      </c>
      <c r="C5" s="74"/>
      <c r="D5" s="85" t="s">
        <v>50</v>
      </c>
      <c r="E5" s="86">
        <v>4.0000000000000002E-4</v>
      </c>
      <c r="F5" s="70">
        <v>2.5000000000000001E-3</v>
      </c>
      <c r="G5" s="70">
        <v>3.2000000000000002E-3</v>
      </c>
      <c r="H5" s="102">
        <v>4.0000000000000001E-3</v>
      </c>
      <c r="I5" s="74"/>
      <c r="J5" s="100" t="s">
        <v>2</v>
      </c>
      <c r="K5" s="106">
        <f>$B$7</f>
        <v>1000000</v>
      </c>
      <c r="L5" s="106">
        <f t="shared" ref="L5:N5" si="0">$B$7</f>
        <v>1000000</v>
      </c>
      <c r="M5" s="106">
        <f t="shared" si="0"/>
        <v>1000000</v>
      </c>
      <c r="N5" s="106">
        <f t="shared" si="0"/>
        <v>1000000</v>
      </c>
      <c r="O5" s="74"/>
      <c r="P5" s="74"/>
      <c r="Q5" s="74"/>
      <c r="R5" s="74"/>
      <c r="S5" s="74"/>
      <c r="T5" s="74"/>
      <c r="U5" s="74"/>
      <c r="V5" s="74"/>
      <c r="W5" s="74"/>
    </row>
    <row r="6" spans="1:23" ht="16" thickBot="1" x14ac:dyDescent="0.25">
      <c r="A6" s="80" t="s">
        <v>1</v>
      </c>
      <c r="B6" s="81" t="s">
        <v>44</v>
      </c>
      <c r="C6" s="74"/>
      <c r="D6" s="85" t="s">
        <v>42</v>
      </c>
      <c r="E6" s="140">
        <f>E5</f>
        <v>4.0000000000000002E-4</v>
      </c>
      <c r="F6" s="139">
        <f>(F5*F4-E5*E4)/(F4-E4)</f>
        <v>4.5999999999999999E-3</v>
      </c>
      <c r="G6" s="139">
        <f t="shared" ref="G6:H6" si="1">(G5*G4-F5*F4)/(G4-F4)</f>
        <v>4.6000000000000008E-3</v>
      </c>
      <c r="H6" s="139">
        <f t="shared" si="1"/>
        <v>6.3999999999999994E-3</v>
      </c>
      <c r="I6" s="74"/>
      <c r="J6" s="101" t="s">
        <v>49</v>
      </c>
      <c r="K6" s="139">
        <f>E6</f>
        <v>4.0000000000000002E-4</v>
      </c>
      <c r="L6" s="139">
        <f t="shared" ref="L6:N6" si="2">F6</f>
        <v>4.5999999999999999E-3</v>
      </c>
      <c r="M6" s="139">
        <f t="shared" si="2"/>
        <v>4.6000000000000008E-3</v>
      </c>
      <c r="N6" s="139">
        <f t="shared" si="2"/>
        <v>6.3999999999999994E-3</v>
      </c>
      <c r="O6" s="74"/>
      <c r="P6" s="74"/>
      <c r="Q6" s="74"/>
      <c r="R6" s="74"/>
      <c r="S6" s="74"/>
      <c r="T6" s="74"/>
      <c r="U6" s="74"/>
      <c r="V6" s="74"/>
      <c r="W6" s="74"/>
    </row>
    <row r="7" spans="1:23" ht="16" thickBot="1" x14ac:dyDescent="0.25">
      <c r="A7" s="80" t="s">
        <v>46</v>
      </c>
      <c r="B7" s="88">
        <v>1000000</v>
      </c>
      <c r="C7" s="74"/>
      <c r="D7" s="85" t="s">
        <v>10</v>
      </c>
      <c r="E7" s="126">
        <v>0.99990000000000001</v>
      </c>
      <c r="F7" s="127">
        <f>EXP(-F5*F4)</f>
        <v>0.99875078092458092</v>
      </c>
      <c r="G7" s="127">
        <f t="shared" ref="G7:H7" si="3">EXP(-G5*G4)</f>
        <v>0.99760287769738176</v>
      </c>
      <c r="H7" s="127">
        <f t="shared" si="3"/>
        <v>0.99600798934399148</v>
      </c>
      <c r="I7" s="74"/>
      <c r="J7" s="101" t="s">
        <v>48</v>
      </c>
      <c r="K7" s="70">
        <f>$B$3</f>
        <v>3.8999999999999998E-3</v>
      </c>
      <c r="L7" s="70">
        <f t="shared" ref="L7:N7" si="4">$B$3</f>
        <v>3.8999999999999998E-3</v>
      </c>
      <c r="M7" s="70">
        <f t="shared" si="4"/>
        <v>3.8999999999999998E-3</v>
      </c>
      <c r="N7" s="70">
        <f t="shared" si="4"/>
        <v>3.8999999999999998E-3</v>
      </c>
      <c r="O7" s="74"/>
      <c r="P7" s="74"/>
      <c r="Q7" s="74"/>
      <c r="R7" s="74"/>
      <c r="S7" s="74"/>
      <c r="T7" s="74"/>
      <c r="U7" s="74"/>
      <c r="V7" s="74"/>
      <c r="W7" s="74"/>
    </row>
    <row r="8" spans="1:23" ht="16" thickBot="1" x14ac:dyDescent="0.25">
      <c r="A8" s="80" t="s">
        <v>62</v>
      </c>
      <c r="B8" s="81">
        <v>0.25</v>
      </c>
      <c r="C8" s="74"/>
      <c r="D8" s="85" t="s">
        <v>30</v>
      </c>
      <c r="E8" s="104">
        <f>EXP(-$B$9*D4)-EXP(-$B$9*E4)</f>
        <v>7.4719451808615833E-3</v>
      </c>
      <c r="F8" s="104">
        <f>EXP(-$B$9*E4)-EXP(-$B$9*F4)</f>
        <v>7.4161152160757693E-3</v>
      </c>
      <c r="G8" s="104">
        <f t="shared" ref="G8:H8" si="5">EXP(-$B$9*F4)-EXP(-$B$9*G4)</f>
        <v>7.3607024097263052E-3</v>
      </c>
      <c r="H8" s="104">
        <f t="shared" si="5"/>
        <v>7.3057036448281876E-3</v>
      </c>
      <c r="I8" s="74"/>
      <c r="J8" s="101" t="s">
        <v>18</v>
      </c>
      <c r="K8" s="135">
        <f>E7</f>
        <v>0.99990000000000001</v>
      </c>
      <c r="L8" s="135">
        <f t="shared" ref="L8:N8" si="6">F7</f>
        <v>0.99875078092458092</v>
      </c>
      <c r="M8" s="135">
        <f t="shared" si="6"/>
        <v>0.99760287769738176</v>
      </c>
      <c r="N8" s="135">
        <f t="shared" si="6"/>
        <v>0.99600798934399148</v>
      </c>
      <c r="O8" s="74"/>
      <c r="P8" s="74"/>
      <c r="Q8" s="74"/>
      <c r="R8" s="74"/>
      <c r="S8" s="74"/>
      <c r="T8" s="74"/>
      <c r="U8" s="74"/>
      <c r="V8" s="74"/>
      <c r="W8" s="74"/>
    </row>
    <row r="9" spans="1:23" ht="16" thickBot="1" x14ac:dyDescent="0.25">
      <c r="A9" s="80" t="s">
        <v>11</v>
      </c>
      <c r="B9" s="89">
        <v>0.03</v>
      </c>
      <c r="C9" s="74"/>
      <c r="D9" s="74"/>
      <c r="E9" s="74"/>
      <c r="F9" s="74"/>
      <c r="G9" s="74"/>
      <c r="H9" s="74"/>
      <c r="I9" s="74"/>
      <c r="J9" s="101" t="s">
        <v>19</v>
      </c>
      <c r="K9" s="115">
        <v>0.25</v>
      </c>
      <c r="L9" s="115">
        <v>0.25</v>
      </c>
      <c r="M9" s="115">
        <v>0.25</v>
      </c>
      <c r="N9" s="116">
        <v>0.25</v>
      </c>
      <c r="O9" s="72" t="s">
        <v>3</v>
      </c>
      <c r="P9" s="74"/>
      <c r="Q9" s="74"/>
      <c r="R9" s="74"/>
      <c r="S9" s="74"/>
      <c r="T9" s="74"/>
      <c r="U9" s="74"/>
      <c r="V9" s="74"/>
      <c r="W9" s="74"/>
    </row>
    <row r="10" spans="1:23" ht="16" thickBot="1" x14ac:dyDescent="0.25">
      <c r="A10" s="80" t="s">
        <v>12</v>
      </c>
      <c r="B10" s="89">
        <v>0.4</v>
      </c>
      <c r="C10" s="74"/>
      <c r="D10" s="90"/>
      <c r="E10" s="74"/>
      <c r="F10" s="74"/>
      <c r="G10" s="74"/>
      <c r="H10" s="74"/>
      <c r="I10" s="74"/>
      <c r="J10" s="72" t="s">
        <v>47</v>
      </c>
      <c r="K10" s="112">
        <f>K5*K9*K8*(K6-K7)</f>
        <v>-874.91249999999991</v>
      </c>
      <c r="L10" s="112">
        <f>L5*L9*L8*(L6-L7)</f>
        <v>174.78138666180169</v>
      </c>
      <c r="M10" s="112">
        <f t="shared" ref="M10:N10" si="7">M5*M9*M8*(M6-M7)</f>
        <v>174.58050359704205</v>
      </c>
      <c r="N10" s="112">
        <f t="shared" si="7"/>
        <v>622.5049933399946</v>
      </c>
      <c r="O10" s="111">
        <f>SUM(K10:N10)</f>
        <v>96.954383598838376</v>
      </c>
      <c r="P10" s="74"/>
      <c r="Q10" s="74"/>
      <c r="R10" s="74"/>
      <c r="S10" s="74"/>
      <c r="T10" s="74"/>
      <c r="U10" s="74"/>
      <c r="V10" s="74"/>
      <c r="W10" s="74"/>
    </row>
    <row r="11" spans="1:23" ht="16" thickBot="1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1:23" ht="16" thickBot="1" x14ac:dyDescent="0.25">
      <c r="A12" s="74"/>
      <c r="B12" s="74"/>
      <c r="C12" s="74"/>
      <c r="D12" s="74"/>
      <c r="E12" s="74"/>
      <c r="F12" s="74"/>
      <c r="G12" s="74"/>
      <c r="H12" s="74"/>
      <c r="I12" s="74"/>
      <c r="J12" s="75" t="s">
        <v>37</v>
      </c>
      <c r="K12" s="75"/>
      <c r="L12" s="75"/>
      <c r="M12" s="75"/>
      <c r="N12" s="99"/>
      <c r="O12" s="74"/>
      <c r="P12" s="74"/>
      <c r="Q12" s="74"/>
      <c r="R12" s="74"/>
      <c r="S12" s="74"/>
      <c r="T12" s="74"/>
      <c r="U12" s="74"/>
      <c r="V12" s="74"/>
      <c r="W12" s="74"/>
    </row>
    <row r="13" spans="1:23" ht="16" thickBot="1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2" t="s">
        <v>3</v>
      </c>
      <c r="K13" s="78" t="s">
        <v>4</v>
      </c>
      <c r="L13" s="78" t="s">
        <v>5</v>
      </c>
      <c r="M13" s="78" t="s">
        <v>6</v>
      </c>
      <c r="N13" s="79" t="s">
        <v>7</v>
      </c>
      <c r="O13" s="74"/>
      <c r="P13" s="74"/>
      <c r="Q13" s="74"/>
      <c r="R13" s="74"/>
      <c r="S13" s="74"/>
      <c r="T13" s="74"/>
      <c r="U13" s="74"/>
      <c r="V13" s="74"/>
      <c r="W13" s="74"/>
    </row>
    <row r="14" spans="1:23" ht="16" thickBot="1" x14ac:dyDescent="0.25">
      <c r="A14" s="74"/>
      <c r="B14" s="74"/>
      <c r="C14" s="74"/>
      <c r="D14" s="74"/>
      <c r="E14" s="74"/>
      <c r="F14" s="74"/>
      <c r="G14" s="74"/>
      <c r="H14" s="74"/>
      <c r="I14" s="74"/>
      <c r="J14" s="105">
        <v>0</v>
      </c>
      <c r="K14" s="108"/>
      <c r="L14" s="120">
        <f>L4</f>
        <v>0.5</v>
      </c>
      <c r="M14" s="120">
        <f t="shared" ref="M14:N14" si="8">M4</f>
        <v>0.75</v>
      </c>
      <c r="N14" s="120">
        <f t="shared" si="8"/>
        <v>1</v>
      </c>
      <c r="O14" s="74"/>
      <c r="P14" s="74"/>
      <c r="Q14" s="74"/>
      <c r="R14" s="74"/>
      <c r="S14" s="74"/>
      <c r="T14" s="74"/>
      <c r="U14" s="74"/>
      <c r="V14" s="74"/>
      <c r="W14" s="74"/>
    </row>
    <row r="15" spans="1:23" ht="16" thickBot="1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100" t="s">
        <v>2</v>
      </c>
      <c r="K15" s="106"/>
      <c r="L15" s="124">
        <f>$B$7</f>
        <v>1000000</v>
      </c>
      <c r="M15" s="124">
        <f t="shared" ref="M15:N15" si="9">$B$7</f>
        <v>1000000</v>
      </c>
      <c r="N15" s="124">
        <f t="shared" si="9"/>
        <v>1000000</v>
      </c>
      <c r="O15" s="74"/>
      <c r="P15" s="74"/>
      <c r="Q15" s="74"/>
      <c r="R15" s="74"/>
      <c r="S15" s="74"/>
      <c r="T15" s="74"/>
      <c r="U15" s="74"/>
      <c r="V15" s="74"/>
      <c r="W15" s="74"/>
    </row>
    <row r="16" spans="1:23" ht="16" thickBot="1" x14ac:dyDescent="0.25">
      <c r="A16" s="75" t="s">
        <v>39</v>
      </c>
      <c r="B16" s="75"/>
      <c r="C16" s="75"/>
      <c r="D16" s="75"/>
      <c r="E16" s="75"/>
      <c r="F16" s="74"/>
      <c r="G16" s="74"/>
      <c r="H16" s="74"/>
      <c r="I16" s="74"/>
      <c r="J16" s="101" t="s">
        <v>49</v>
      </c>
      <c r="K16" s="70"/>
      <c r="L16" s="141">
        <f>L6</f>
        <v>4.5999999999999999E-3</v>
      </c>
      <c r="M16" s="141">
        <f t="shared" ref="M16:N17" si="10">M6</f>
        <v>4.6000000000000008E-3</v>
      </c>
      <c r="N16" s="141">
        <f t="shared" si="10"/>
        <v>6.3999999999999994E-3</v>
      </c>
      <c r="O16" s="74"/>
      <c r="P16" s="74"/>
      <c r="Q16" s="74"/>
      <c r="R16" s="74"/>
      <c r="S16" s="74"/>
      <c r="T16" s="74"/>
      <c r="U16" s="74"/>
      <c r="V16" s="74"/>
      <c r="W16" s="74"/>
    </row>
    <row r="17" spans="1:23" ht="16" thickBot="1" x14ac:dyDescent="0.25">
      <c r="A17" s="72"/>
      <c r="B17" s="78" t="s">
        <v>52</v>
      </c>
      <c r="C17" s="78" t="s">
        <v>53</v>
      </c>
      <c r="D17" s="78" t="s">
        <v>54</v>
      </c>
      <c r="E17" s="79" t="s">
        <v>55</v>
      </c>
      <c r="F17" s="74"/>
      <c r="G17" s="74"/>
      <c r="H17" s="74"/>
      <c r="I17" s="74"/>
      <c r="J17" s="101" t="s">
        <v>48</v>
      </c>
      <c r="K17" s="70"/>
      <c r="L17" s="125">
        <f>L7</f>
        <v>3.8999999999999998E-3</v>
      </c>
      <c r="M17" s="125">
        <f t="shared" si="10"/>
        <v>3.8999999999999998E-3</v>
      </c>
      <c r="N17" s="125">
        <f t="shared" si="10"/>
        <v>3.8999999999999998E-3</v>
      </c>
      <c r="O17" s="74"/>
      <c r="P17" s="74"/>
      <c r="Q17" s="74"/>
      <c r="R17" s="74"/>
      <c r="S17" s="74"/>
      <c r="T17" s="74"/>
      <c r="U17" s="74"/>
      <c r="V17" s="74"/>
      <c r="W17" s="74"/>
    </row>
    <row r="18" spans="1:23" ht="16" thickBot="1" x14ac:dyDescent="0.25">
      <c r="A18" s="73" t="s">
        <v>56</v>
      </c>
      <c r="B18" s="91">
        <f>AVERAGE(B29:C29)</f>
        <v>534.45922937276646</v>
      </c>
      <c r="C18" s="91">
        <f>AVERAGE(C29:D29)</f>
        <v>885.02327596874807</v>
      </c>
      <c r="D18" s="91">
        <f>AVERAGE(D29:E29)</f>
        <v>711.04163818215261</v>
      </c>
      <c r="E18" s="91">
        <f>AVERAGE(E29:F29)</f>
        <v>312.00039978675193</v>
      </c>
      <c r="F18" s="74"/>
      <c r="G18" s="74"/>
      <c r="H18" s="74"/>
      <c r="I18" s="74"/>
      <c r="J18" s="101" t="s">
        <v>18</v>
      </c>
      <c r="K18" s="71"/>
      <c r="L18" s="136">
        <f>EXP(-F6*($B$8))</f>
        <v>0.9988506609965937</v>
      </c>
      <c r="M18" s="136">
        <f>EXP(-G6*($B$8))*L18</f>
        <v>0.99770264297333211</v>
      </c>
      <c r="N18" s="136">
        <f>EXP(-H6*($B$8))*M18</f>
        <v>0.99610759512313185</v>
      </c>
      <c r="O18" s="74"/>
      <c r="P18" s="74"/>
      <c r="Q18" s="74"/>
      <c r="R18" s="74"/>
      <c r="S18" s="74"/>
      <c r="T18" s="74"/>
      <c r="U18" s="74"/>
      <c r="V18" s="74"/>
      <c r="W18" s="74"/>
    </row>
    <row r="19" spans="1:23" ht="16" thickBot="1" x14ac:dyDescent="0.25">
      <c r="A19" s="92" t="s">
        <v>57</v>
      </c>
      <c r="B19" s="93">
        <f>(1-$B$10)</f>
        <v>0.6</v>
      </c>
      <c r="C19" s="93">
        <f t="shared" ref="C19:E19" si="11">(1-$B$10)</f>
        <v>0.6</v>
      </c>
      <c r="D19" s="93">
        <f t="shared" si="11"/>
        <v>0.6</v>
      </c>
      <c r="E19" s="93">
        <f t="shared" si="11"/>
        <v>0.6</v>
      </c>
      <c r="F19" s="74"/>
      <c r="G19" s="74"/>
      <c r="H19" s="74"/>
      <c r="I19" s="74"/>
      <c r="J19" s="101" t="s">
        <v>19</v>
      </c>
      <c r="K19" s="115"/>
      <c r="L19" s="109">
        <f t="shared" ref="L19:N19" si="12">L9</f>
        <v>0.25</v>
      </c>
      <c r="M19" s="109">
        <f t="shared" si="12"/>
        <v>0.25</v>
      </c>
      <c r="N19" s="109">
        <f t="shared" si="12"/>
        <v>0.25</v>
      </c>
      <c r="O19" s="72" t="s">
        <v>4</v>
      </c>
      <c r="P19" s="74"/>
      <c r="Q19" s="74"/>
      <c r="R19" s="74"/>
      <c r="S19" s="74"/>
      <c r="T19" s="74"/>
      <c r="U19" s="74"/>
      <c r="V19" s="74"/>
      <c r="W19" s="74"/>
    </row>
    <row r="20" spans="1:23" ht="16" thickBot="1" x14ac:dyDescent="0.25">
      <c r="A20" s="92" t="s">
        <v>58</v>
      </c>
      <c r="B20" s="94">
        <f>(1+E7)/2</f>
        <v>0.99995000000000001</v>
      </c>
      <c r="C20" s="94">
        <f t="shared" ref="C20:E20" si="13">(1+F7)/2</f>
        <v>0.9993753904622904</v>
      </c>
      <c r="D20" s="94">
        <f t="shared" si="13"/>
        <v>0.99880143884869088</v>
      </c>
      <c r="E20" s="94">
        <f t="shared" si="13"/>
        <v>0.99800399467199574</v>
      </c>
      <c r="F20" s="74"/>
      <c r="G20" s="74"/>
      <c r="H20" s="74"/>
      <c r="I20" s="74"/>
      <c r="J20" s="72" t="s">
        <v>47</v>
      </c>
      <c r="K20" s="117"/>
      <c r="L20" s="118">
        <f>L15*L19*L18*(L16-L17)</f>
        <v>174.79886567440391</v>
      </c>
      <c r="M20" s="118">
        <f t="shared" ref="M20:N20" si="14">M15*M19*M18*(M16-M17)</f>
        <v>174.59796252033337</v>
      </c>
      <c r="N20" s="118">
        <f t="shared" si="14"/>
        <v>622.56724695195737</v>
      </c>
      <c r="O20" s="119">
        <f>SUM(L20:N20)</f>
        <v>971.96407514669465</v>
      </c>
      <c r="P20" s="74"/>
      <c r="Q20" s="74"/>
      <c r="R20" s="74"/>
      <c r="S20" s="74"/>
      <c r="T20" s="74"/>
      <c r="U20" s="74"/>
      <c r="V20" s="74"/>
      <c r="W20" s="74"/>
    </row>
    <row r="21" spans="1:23" ht="16" thickBot="1" x14ac:dyDescent="0.25">
      <c r="A21" s="92" t="s">
        <v>59</v>
      </c>
      <c r="B21" s="95">
        <f>E8</f>
        <v>7.4719451808615833E-3</v>
      </c>
      <c r="C21" s="95">
        <f t="shared" ref="C21:E21" si="15">F8</f>
        <v>7.4161152160757693E-3</v>
      </c>
      <c r="D21" s="95">
        <f t="shared" si="15"/>
        <v>7.3607024097263052E-3</v>
      </c>
      <c r="E21" s="95">
        <f t="shared" si="15"/>
        <v>7.3057036448281876E-3</v>
      </c>
      <c r="F21" s="74"/>
      <c r="G21" s="74"/>
      <c r="H21" s="74"/>
      <c r="I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1:23" ht="16" thickBot="1" x14ac:dyDescent="0.25">
      <c r="A22" s="92" t="s">
        <v>60</v>
      </c>
      <c r="B22" s="96">
        <f>B18*B19*B20*B21</f>
        <v>2.3959502344654044</v>
      </c>
      <c r="C22" s="96">
        <f t="shared" ref="C22:E22" si="16">C18*C19*C20*C21</f>
        <v>3.9356009997912449</v>
      </c>
      <c r="D22" s="96">
        <f t="shared" si="16"/>
        <v>3.1364957466604939</v>
      </c>
      <c r="E22" s="96">
        <f t="shared" si="16"/>
        <v>1.3648996790276264</v>
      </c>
      <c r="F22" s="74"/>
      <c r="G22" s="74"/>
      <c r="H22" s="74"/>
      <c r="I22" s="74"/>
      <c r="J22" s="75" t="s">
        <v>37</v>
      </c>
      <c r="K22" s="75"/>
      <c r="L22" s="75"/>
      <c r="M22" s="75"/>
      <c r="N22" s="99"/>
      <c r="O22" s="74"/>
      <c r="P22" s="74"/>
      <c r="Q22" s="74"/>
      <c r="R22" s="74"/>
      <c r="S22" s="74"/>
      <c r="T22" s="74"/>
      <c r="U22" s="74"/>
      <c r="V22" s="74"/>
      <c r="W22" s="74"/>
    </row>
    <row r="23" spans="1:23" ht="16" thickBot="1" x14ac:dyDescent="0.25">
      <c r="A23" s="97" t="s">
        <v>61</v>
      </c>
      <c r="B23" s="98">
        <f>SUM(B22:E22)</f>
        <v>10.832946659944769</v>
      </c>
      <c r="C23" s="74"/>
      <c r="D23" s="74"/>
      <c r="E23" s="74"/>
      <c r="F23" s="74"/>
      <c r="G23" s="74"/>
      <c r="H23" s="74"/>
      <c r="I23" s="74"/>
      <c r="J23" s="72" t="s">
        <v>3</v>
      </c>
      <c r="K23" s="78" t="s">
        <v>4</v>
      </c>
      <c r="L23" s="78" t="s">
        <v>5</v>
      </c>
      <c r="M23" s="78" t="s">
        <v>6</v>
      </c>
      <c r="N23" s="79" t="s">
        <v>7</v>
      </c>
      <c r="O23" s="74"/>
      <c r="P23" s="74"/>
      <c r="Q23" s="74"/>
      <c r="R23" s="74"/>
      <c r="S23" s="74"/>
      <c r="T23" s="74"/>
      <c r="U23" s="74"/>
      <c r="V23" s="74"/>
      <c r="W23" s="74"/>
    </row>
    <row r="24" spans="1:23" ht="16" thickBot="1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105">
        <v>0</v>
      </c>
      <c r="K24" s="108"/>
      <c r="L24" s="109"/>
      <c r="M24" s="120">
        <f>M4</f>
        <v>0.75</v>
      </c>
      <c r="N24" s="120">
        <f>N4</f>
        <v>1</v>
      </c>
      <c r="O24" s="74"/>
      <c r="P24" s="74"/>
      <c r="Q24" s="74"/>
      <c r="R24" s="74"/>
      <c r="S24" s="74"/>
      <c r="T24" s="74"/>
      <c r="U24" s="74"/>
      <c r="V24" s="74"/>
      <c r="W24" s="74"/>
    </row>
    <row r="25" spans="1:23" ht="16" thickBot="1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100" t="s">
        <v>2</v>
      </c>
      <c r="K25" s="106"/>
      <c r="L25" s="106"/>
      <c r="M25" s="106">
        <f>$B$7</f>
        <v>1000000</v>
      </c>
      <c r="N25" s="106">
        <f>$B$7</f>
        <v>1000000</v>
      </c>
      <c r="O25" s="74"/>
      <c r="P25" s="74"/>
      <c r="Q25" s="74"/>
      <c r="R25" s="74"/>
      <c r="S25" s="74"/>
      <c r="T25" s="74"/>
      <c r="U25" s="74"/>
      <c r="V25" s="74"/>
      <c r="W25" s="74"/>
    </row>
    <row r="26" spans="1:23" ht="16" thickBot="1" x14ac:dyDescent="0.25">
      <c r="A26" s="74"/>
      <c r="B26" s="75" t="s">
        <v>38</v>
      </c>
      <c r="C26" s="75"/>
      <c r="D26" s="75"/>
      <c r="E26" s="75"/>
      <c r="F26" s="99"/>
      <c r="G26" s="74"/>
      <c r="H26" s="74"/>
      <c r="I26" s="74"/>
      <c r="J26" s="101" t="s">
        <v>49</v>
      </c>
      <c r="K26" s="70"/>
      <c r="L26" s="70"/>
      <c r="M26" s="142">
        <f>M6</f>
        <v>4.6000000000000008E-3</v>
      </c>
      <c r="N26" s="142">
        <f>N6</f>
        <v>6.3999999999999994E-3</v>
      </c>
      <c r="O26" s="74"/>
      <c r="P26" s="74"/>
      <c r="Q26" s="74"/>
      <c r="R26" s="74"/>
      <c r="S26" s="74"/>
      <c r="T26" s="74"/>
      <c r="U26" s="74"/>
      <c r="V26" s="74"/>
      <c r="W26" s="74"/>
    </row>
    <row r="27" spans="1:23" ht="16" thickBot="1" x14ac:dyDescent="0.25">
      <c r="A27" s="74"/>
      <c r="B27" s="128" t="s">
        <v>3</v>
      </c>
      <c r="C27" s="78" t="s">
        <v>4</v>
      </c>
      <c r="D27" s="78" t="s">
        <v>5</v>
      </c>
      <c r="E27" s="78" t="s">
        <v>6</v>
      </c>
      <c r="F27" s="79" t="s">
        <v>7</v>
      </c>
      <c r="G27" s="74"/>
      <c r="H27" s="74"/>
      <c r="I27" s="74"/>
      <c r="J27" s="101" t="s">
        <v>48</v>
      </c>
      <c r="K27" s="70"/>
      <c r="L27" s="70"/>
      <c r="M27" s="70">
        <f>M7</f>
        <v>3.8999999999999998E-3</v>
      </c>
      <c r="N27" s="70">
        <f>N7</f>
        <v>3.8999999999999998E-3</v>
      </c>
      <c r="O27" s="74"/>
      <c r="P27" s="74"/>
      <c r="Q27" s="74"/>
      <c r="R27" s="74"/>
      <c r="S27" s="74"/>
      <c r="T27" s="74"/>
      <c r="U27" s="74"/>
      <c r="V27" s="74"/>
      <c r="W27" s="74"/>
    </row>
    <row r="28" spans="1:23" ht="16" thickBot="1" x14ac:dyDescent="0.25">
      <c r="A28" s="74"/>
      <c r="B28" s="132">
        <v>0</v>
      </c>
      <c r="C28" s="133">
        <v>0.25</v>
      </c>
      <c r="D28" s="133">
        <v>0.5</v>
      </c>
      <c r="E28" s="133">
        <v>0.75</v>
      </c>
      <c r="F28" s="134">
        <v>1</v>
      </c>
      <c r="G28" s="74"/>
      <c r="H28" s="74"/>
      <c r="I28" s="74"/>
      <c r="J28" s="101" t="s">
        <v>18</v>
      </c>
      <c r="K28" s="71"/>
      <c r="L28" s="71"/>
      <c r="M28" s="137">
        <f>EXP(-G6*($B$8))</f>
        <v>0.9988506609965937</v>
      </c>
      <c r="N28" s="137">
        <f>EXP(-H6*($B$8))*M28</f>
        <v>0.99725377778623592</v>
      </c>
      <c r="O28" s="74"/>
      <c r="P28" s="74"/>
      <c r="Q28" s="74"/>
      <c r="R28" s="74"/>
      <c r="S28" s="74"/>
      <c r="T28" s="74"/>
      <c r="U28" s="74"/>
      <c r="V28" s="74"/>
      <c r="W28" s="74"/>
    </row>
    <row r="29" spans="1:23" ht="16" thickBot="1" x14ac:dyDescent="0.25">
      <c r="A29" s="74"/>
      <c r="B29" s="129">
        <f>MAX(O10,0)</f>
        <v>96.954383598838376</v>
      </c>
      <c r="C29" s="130">
        <f>MAX(O20,0)</f>
        <v>971.96407514669465</v>
      </c>
      <c r="D29" s="130">
        <f>MAX(O30,0)</f>
        <v>798.08247679080148</v>
      </c>
      <c r="E29" s="130">
        <f>MAX(O40,0)</f>
        <v>624.00079957350385</v>
      </c>
      <c r="F29" s="131">
        <f>MAX(O50,0)</f>
        <v>0</v>
      </c>
      <c r="G29" s="74"/>
      <c r="H29" s="74"/>
      <c r="I29" s="74"/>
      <c r="J29" s="101" t="s">
        <v>19</v>
      </c>
      <c r="K29" s="115"/>
      <c r="L29" s="115"/>
      <c r="M29" s="115">
        <f>M9</f>
        <v>0.25</v>
      </c>
      <c r="N29" s="115">
        <f>N9</f>
        <v>0.25</v>
      </c>
      <c r="O29" s="72" t="s">
        <v>5</v>
      </c>
      <c r="P29" s="74"/>
      <c r="Q29" s="74"/>
      <c r="R29" s="74"/>
      <c r="S29" s="74"/>
      <c r="T29" s="74"/>
      <c r="U29" s="74"/>
      <c r="V29" s="74"/>
      <c r="W29" s="74"/>
    </row>
    <row r="30" spans="1:23" ht="16" thickBot="1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2" t="s">
        <v>47</v>
      </c>
      <c r="K30" s="112"/>
      <c r="L30" s="113"/>
      <c r="M30" s="113">
        <f>M25*M29*M28*(M26-M27)</f>
        <v>174.79886567440414</v>
      </c>
      <c r="N30" s="113">
        <f>N25*N29*N28*(N26-N27)</f>
        <v>623.28361111639731</v>
      </c>
      <c r="O30" s="114">
        <f>SUM(M30:N30)</f>
        <v>798.08247679080148</v>
      </c>
      <c r="P30" s="74"/>
      <c r="Q30" s="74"/>
      <c r="R30" s="74"/>
      <c r="S30" s="74"/>
      <c r="T30" s="74"/>
      <c r="U30" s="74"/>
      <c r="V30" s="74"/>
      <c r="W30" s="74"/>
    </row>
    <row r="31" spans="1:23" ht="16" thickBot="1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</row>
    <row r="32" spans="1:23" ht="16" thickBot="1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5" t="s">
        <v>37</v>
      </c>
      <c r="K32" s="75"/>
      <c r="L32" s="75"/>
      <c r="M32" s="75"/>
      <c r="N32" s="99"/>
      <c r="O32" s="74"/>
      <c r="P32" s="74"/>
      <c r="Q32" s="74"/>
      <c r="R32" s="74"/>
      <c r="S32" s="74"/>
      <c r="T32" s="74"/>
      <c r="U32" s="74"/>
      <c r="V32" s="74"/>
      <c r="W32" s="74"/>
    </row>
    <row r="33" spans="1:23" ht="16" thickBot="1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2" t="s">
        <v>3</v>
      </c>
      <c r="K33" s="78" t="s">
        <v>4</v>
      </c>
      <c r="L33" s="78" t="s">
        <v>5</v>
      </c>
      <c r="M33" s="78" t="s">
        <v>6</v>
      </c>
      <c r="N33" s="79" t="s">
        <v>7</v>
      </c>
      <c r="O33" s="74"/>
      <c r="P33" s="74"/>
      <c r="V33" s="74"/>
      <c r="W33" s="74"/>
    </row>
    <row r="34" spans="1:23" ht="16" thickBot="1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105">
        <v>0</v>
      </c>
      <c r="K34" s="108"/>
      <c r="L34" s="109"/>
      <c r="M34" s="109"/>
      <c r="N34" s="121">
        <f>N4</f>
        <v>1</v>
      </c>
      <c r="O34" s="74"/>
      <c r="P34" s="74"/>
      <c r="W34" s="74"/>
    </row>
    <row r="35" spans="1:23" x14ac:dyDescent="0.2">
      <c r="A35" s="74"/>
      <c r="B35" s="74"/>
      <c r="C35" s="74"/>
      <c r="D35" s="74"/>
      <c r="E35" s="74"/>
      <c r="F35" s="74"/>
      <c r="G35" s="74"/>
      <c r="H35" s="74"/>
      <c r="I35" s="74"/>
      <c r="J35" s="100" t="s">
        <v>2</v>
      </c>
      <c r="K35" s="106"/>
      <c r="L35" s="106"/>
      <c r="M35" s="106"/>
      <c r="N35" s="107">
        <f>$B$7</f>
        <v>1000000</v>
      </c>
      <c r="O35" s="74"/>
      <c r="P35" s="74"/>
      <c r="W35" s="74"/>
    </row>
    <row r="36" spans="1:23" x14ac:dyDescent="0.2">
      <c r="A36" s="74"/>
      <c r="B36" s="74"/>
      <c r="C36" s="74"/>
      <c r="D36" s="74"/>
      <c r="E36" s="74"/>
      <c r="F36" s="74"/>
      <c r="G36" s="74"/>
      <c r="H36" s="74"/>
      <c r="I36" s="74"/>
      <c r="J36" s="101" t="s">
        <v>49</v>
      </c>
      <c r="K36" s="70"/>
      <c r="L36" s="70"/>
      <c r="M36" s="70"/>
      <c r="N36" s="142">
        <f>N6</f>
        <v>6.3999999999999994E-3</v>
      </c>
      <c r="O36" s="74"/>
      <c r="P36" s="74"/>
      <c r="W36" s="74"/>
    </row>
    <row r="37" spans="1:23" x14ac:dyDescent="0.2">
      <c r="A37" s="74"/>
      <c r="B37" s="74"/>
      <c r="C37" s="74"/>
      <c r="D37" s="74"/>
      <c r="E37" s="74"/>
      <c r="F37" s="74"/>
      <c r="G37" s="74"/>
      <c r="H37" s="74"/>
      <c r="I37" s="74"/>
      <c r="J37" s="101" t="s">
        <v>48</v>
      </c>
      <c r="K37" s="70"/>
      <c r="L37" s="70"/>
      <c r="M37" s="70"/>
      <c r="N37" s="102">
        <f>N7</f>
        <v>3.8999999999999998E-3</v>
      </c>
      <c r="O37" s="74"/>
      <c r="P37" s="74"/>
      <c r="W37" s="74"/>
    </row>
    <row r="38" spans="1:23" ht="16" thickBot="1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101" t="s">
        <v>18</v>
      </c>
      <c r="K38" s="71"/>
      <c r="L38" s="71"/>
      <c r="M38" s="71"/>
      <c r="N38" s="138">
        <f>EXP(-H6*($B$8))</f>
        <v>0.99840127931760636</v>
      </c>
      <c r="O38" s="74"/>
      <c r="P38" s="74"/>
      <c r="W38" s="74"/>
    </row>
    <row r="39" spans="1:23" ht="16" thickBot="1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101" t="s">
        <v>19</v>
      </c>
      <c r="K39" s="115"/>
      <c r="L39" s="115"/>
      <c r="M39" s="115"/>
      <c r="N39" s="116">
        <f>N9</f>
        <v>0.25</v>
      </c>
      <c r="O39" s="72" t="s">
        <v>6</v>
      </c>
      <c r="P39" s="74"/>
      <c r="W39" s="74"/>
    </row>
    <row r="40" spans="1:23" ht="16" thickBot="1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2" t="s">
        <v>47</v>
      </c>
      <c r="K40" s="112"/>
      <c r="L40" s="113"/>
      <c r="M40" s="113"/>
      <c r="N40" s="113">
        <f>N35*N39*N38*(N36-N37)</f>
        <v>624.00079957350385</v>
      </c>
      <c r="O40" s="114">
        <f>SUM(N40)</f>
        <v>624.00079957350385</v>
      </c>
      <c r="P40" s="74"/>
      <c r="W40" s="74"/>
    </row>
    <row r="41" spans="1:23" ht="16" thickBot="1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W41" s="74"/>
    </row>
    <row r="42" spans="1:23" ht="16" thickBot="1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5" t="s">
        <v>37</v>
      </c>
      <c r="K42" s="75"/>
      <c r="L42" s="75"/>
      <c r="M42" s="75"/>
      <c r="N42" s="99"/>
      <c r="O42" s="74"/>
      <c r="P42" s="74"/>
      <c r="W42" s="74"/>
    </row>
    <row r="43" spans="1:23" ht="16" thickBot="1" x14ac:dyDescent="0.25">
      <c r="J43" s="72" t="s">
        <v>3</v>
      </c>
      <c r="K43" s="78" t="s">
        <v>4</v>
      </c>
      <c r="L43" s="78" t="s">
        <v>5</v>
      </c>
      <c r="M43" s="78" t="s">
        <v>6</v>
      </c>
      <c r="N43" s="79" t="s">
        <v>7</v>
      </c>
      <c r="O43" s="74"/>
    </row>
    <row r="44" spans="1:23" ht="16" thickBot="1" x14ac:dyDescent="0.25">
      <c r="J44" s="105">
        <v>0</v>
      </c>
      <c r="K44" s="108"/>
      <c r="L44" s="109"/>
      <c r="M44" s="109"/>
      <c r="N44" s="110"/>
      <c r="O44" s="74"/>
    </row>
    <row r="45" spans="1:23" x14ac:dyDescent="0.2">
      <c r="J45" s="100" t="s">
        <v>2</v>
      </c>
      <c r="K45" s="106"/>
      <c r="L45" s="106"/>
      <c r="M45" s="106"/>
      <c r="N45" s="107"/>
      <c r="O45" s="74"/>
    </row>
    <row r="46" spans="1:23" x14ac:dyDescent="0.2">
      <c r="J46" s="101" t="s">
        <v>49</v>
      </c>
      <c r="K46" s="70"/>
      <c r="L46" s="70"/>
      <c r="M46" s="70"/>
      <c r="N46" s="102"/>
      <c r="O46" s="74"/>
    </row>
    <row r="47" spans="1:23" x14ac:dyDescent="0.2">
      <c r="J47" s="101" t="s">
        <v>48</v>
      </c>
      <c r="K47" s="70"/>
      <c r="L47" s="70"/>
      <c r="M47" s="70"/>
      <c r="N47" s="102"/>
      <c r="O47" s="74"/>
    </row>
    <row r="48" spans="1:23" ht="16" thickBot="1" x14ac:dyDescent="0.25">
      <c r="J48" s="101" t="s">
        <v>18</v>
      </c>
      <c r="K48" s="71"/>
      <c r="L48" s="71"/>
      <c r="M48" s="71"/>
      <c r="N48" s="103"/>
      <c r="O48" s="74"/>
    </row>
    <row r="49" spans="10:15" ht="16" thickBot="1" x14ac:dyDescent="0.25">
      <c r="J49" s="101" t="s">
        <v>19</v>
      </c>
      <c r="K49" s="115"/>
      <c r="L49" s="115"/>
      <c r="M49" s="115"/>
      <c r="N49" s="116"/>
      <c r="O49" s="72" t="s">
        <v>7</v>
      </c>
    </row>
    <row r="50" spans="10:15" ht="16" thickBot="1" x14ac:dyDescent="0.25">
      <c r="J50" s="72" t="s">
        <v>47</v>
      </c>
      <c r="K50" s="112"/>
      <c r="L50" s="113"/>
      <c r="M50" s="113"/>
      <c r="N50" s="113">
        <f>N45*N49*N48*(N46-N47)</f>
        <v>0</v>
      </c>
      <c r="O50" s="114">
        <f>SUM(N50)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zoomScale="80" zoomScaleNormal="80" zoomScalePageLayoutView="80" workbookViewId="0">
      <selection activeCell="H21" sqref="H21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3" width="11.1640625" customWidth="1"/>
    <col min="4" max="4" width="10.6640625" customWidth="1"/>
    <col min="10" max="10" width="10" bestFit="1" customWidth="1"/>
    <col min="11" max="11" width="15.6640625" customWidth="1"/>
    <col min="12" max="12" width="14.6640625" customWidth="1"/>
    <col min="13" max="13" width="16" customWidth="1"/>
    <col min="14" max="14" width="16.1640625" customWidth="1"/>
  </cols>
  <sheetData>
    <row r="1" spans="1:14" ht="16.5" thickBot="1" x14ac:dyDescent="0.3"/>
    <row r="2" spans="1:14" ht="16.5" thickBot="1" x14ac:dyDescent="0.3">
      <c r="A2" s="8" t="s">
        <v>35</v>
      </c>
      <c r="B2" s="9"/>
      <c r="D2" s="8" t="s">
        <v>36</v>
      </c>
      <c r="E2" s="8"/>
      <c r="F2" s="8"/>
      <c r="G2" s="8"/>
      <c r="H2" s="8"/>
      <c r="J2" s="8" t="s">
        <v>37</v>
      </c>
      <c r="K2" s="8"/>
      <c r="L2" s="8"/>
      <c r="M2" s="8"/>
      <c r="N2" s="8"/>
    </row>
    <row r="3" spans="1:14" ht="16.5" thickBot="1" x14ac:dyDescent="0.3">
      <c r="A3" s="4" t="s">
        <v>34</v>
      </c>
      <c r="B3" s="13">
        <v>3.8999999999999998E-3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40</v>
      </c>
      <c r="B4" s="10" t="s">
        <v>32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6.5" thickBot="1" x14ac:dyDescent="0.3">
      <c r="A5" s="4" t="s">
        <v>0</v>
      </c>
      <c r="B5" s="10" t="s">
        <v>15</v>
      </c>
      <c r="D5" s="7" t="s">
        <v>8</v>
      </c>
      <c r="E5" s="37">
        <f ca="1">E10*0.9+E10*0.2*RAND()</f>
        <v>3.9514703865009689E-4</v>
      </c>
      <c r="F5" s="37">
        <f ca="1">F10*0.9+F10*0.2*RAND()</f>
        <v>2.564889874686384E-3</v>
      </c>
      <c r="G5" s="37">
        <f ca="1">G10*0.9+G10*0.2*RAND()</f>
        <v>3.1846675258140975E-3</v>
      </c>
      <c r="H5" s="37">
        <f ca="1">H10*0.9+H10*0.2*RAND()</f>
        <v>3.9049095896868669E-3</v>
      </c>
      <c r="J5" s="17" t="s">
        <v>16</v>
      </c>
      <c r="K5" s="21"/>
      <c r="L5" s="21"/>
      <c r="M5" s="21"/>
      <c r="N5" s="21"/>
    </row>
    <row r="6" spans="1:14" ht="16.5" thickBot="1" x14ac:dyDescent="0.3">
      <c r="A6" s="4" t="s">
        <v>1</v>
      </c>
      <c r="B6" s="10">
        <v>0.25</v>
      </c>
      <c r="D6" s="7" t="s">
        <v>9</v>
      </c>
      <c r="E6" s="25">
        <f ca="1">E5</f>
        <v>3.9514703865009689E-4</v>
      </c>
      <c r="F6" s="25">
        <f ca="1">(F5*F4-E5*E4)/(F4-E4)</f>
        <v>4.7346327107226707E-3</v>
      </c>
      <c r="G6" s="25">
        <f ca="1">(G5*G4-F5*F4)/(G4-F4)</f>
        <v>4.4242228280695246E-3</v>
      </c>
      <c r="H6" s="26">
        <f ca="1">(H5*H4-G5*G4)/(H4-G4)</f>
        <v>6.0656357813051748E-3</v>
      </c>
      <c r="J6" s="17" t="s">
        <v>17</v>
      </c>
      <c r="K6" s="22"/>
      <c r="L6" s="22"/>
      <c r="M6" s="22"/>
      <c r="N6" s="22"/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7"/>
      <c r="F7" s="27"/>
      <c r="G7" s="27"/>
      <c r="H7" s="28"/>
      <c r="J7" s="17" t="s">
        <v>34</v>
      </c>
      <c r="K7" s="22"/>
      <c r="L7" s="22"/>
      <c r="M7" s="22"/>
      <c r="N7" s="22"/>
    </row>
    <row r="8" spans="1:14" ht="16.5" thickBot="1" x14ac:dyDescent="0.3">
      <c r="A8" s="4"/>
      <c r="B8" s="10"/>
      <c r="D8" s="7" t="s">
        <v>30</v>
      </c>
      <c r="E8" s="25"/>
      <c r="F8" s="25"/>
      <c r="G8" s="25"/>
      <c r="H8" s="26"/>
      <c r="J8" s="17" t="s">
        <v>18</v>
      </c>
      <c r="K8" s="23"/>
      <c r="L8" s="23"/>
      <c r="M8" s="23"/>
      <c r="N8" s="23"/>
    </row>
    <row r="9" spans="1:14" ht="16.5" thickBot="1" x14ac:dyDescent="0.3">
      <c r="A9" s="4" t="s">
        <v>11</v>
      </c>
      <c r="B9" s="11">
        <v>0.03</v>
      </c>
      <c r="J9" s="17" t="s">
        <v>19</v>
      </c>
      <c r="K9" s="24"/>
      <c r="L9" s="24"/>
      <c r="M9" s="24"/>
      <c r="N9" s="24"/>
    </row>
    <row r="10" spans="1:14" ht="16.5" thickBot="1" x14ac:dyDescent="0.3">
      <c r="A10" s="4" t="s">
        <v>12</v>
      </c>
      <c r="B10" s="11">
        <v>0.4</v>
      </c>
      <c r="D10" s="38" t="s">
        <v>33</v>
      </c>
      <c r="E10" s="35">
        <v>4.0000000000000002E-4</v>
      </c>
      <c r="F10" s="35">
        <v>2.5000000000000001E-3</v>
      </c>
      <c r="G10" s="35">
        <v>3.2000000000000002E-3</v>
      </c>
      <c r="H10" s="36">
        <v>4.0000000000000001E-3</v>
      </c>
      <c r="J10" s="4" t="s">
        <v>41</v>
      </c>
      <c r="K10" s="19">
        <v>0</v>
      </c>
      <c r="L10" s="19">
        <v>0</v>
      </c>
      <c r="M10" s="19">
        <v>0</v>
      </c>
      <c r="N10" s="19">
        <v>0</v>
      </c>
    </row>
    <row r="11" spans="1:14" ht="16.5" thickBot="1" x14ac:dyDescent="0.3"/>
    <row r="12" spans="1:14" ht="16.5" thickBot="1" x14ac:dyDescent="0.3">
      <c r="J12" s="18" t="s">
        <v>20</v>
      </c>
    </row>
    <row r="13" spans="1:14" ht="16.5" thickBot="1" x14ac:dyDescent="0.3">
      <c r="J13" s="19">
        <v>0</v>
      </c>
      <c r="K13" s="18" t="s">
        <v>21</v>
      </c>
    </row>
    <row r="14" spans="1:14" ht="16.5" thickBot="1" x14ac:dyDescent="0.3">
      <c r="K14" s="19">
        <v>0</v>
      </c>
      <c r="L14" s="18" t="s">
        <v>22</v>
      </c>
    </row>
    <row r="15" spans="1:14" ht="16.5" thickBot="1" x14ac:dyDescent="0.3">
      <c r="L15" s="19">
        <v>0</v>
      </c>
      <c r="M15" s="18" t="s">
        <v>23</v>
      </c>
    </row>
    <row r="16" spans="1:14" ht="16.5" thickBot="1" x14ac:dyDescent="0.3">
      <c r="A16" s="8" t="s">
        <v>39</v>
      </c>
      <c r="B16" s="8"/>
      <c r="C16" s="8"/>
      <c r="D16" s="8"/>
      <c r="E16" s="8"/>
      <c r="M16" s="19">
        <v>0</v>
      </c>
      <c r="N16" s="18" t="s">
        <v>24</v>
      </c>
    </row>
    <row r="17" spans="1:14" ht="16.5" thickBot="1" x14ac:dyDescent="0.3">
      <c r="A17" s="4"/>
      <c r="B17" s="5" t="s">
        <v>25</v>
      </c>
      <c r="C17" s="5" t="s">
        <v>26</v>
      </c>
      <c r="D17" s="5" t="s">
        <v>27</v>
      </c>
      <c r="E17" s="6" t="s">
        <v>28</v>
      </c>
      <c r="N17" s="19">
        <v>0</v>
      </c>
    </row>
    <row r="18" spans="1:14" ht="16.5" thickBot="1" x14ac:dyDescent="0.3">
      <c r="A18" s="20" t="s">
        <v>29</v>
      </c>
      <c r="B18" s="29"/>
      <c r="C18" s="29"/>
      <c r="D18" s="29"/>
      <c r="E18" s="29"/>
    </row>
    <row r="19" spans="1:14" ht="16.5" thickBot="1" x14ac:dyDescent="0.3">
      <c r="A19" s="20" t="s">
        <v>10</v>
      </c>
      <c r="B19" s="23"/>
      <c r="C19" s="23"/>
      <c r="D19" s="23"/>
      <c r="E19" s="23"/>
      <c r="J19" s="8" t="s">
        <v>38</v>
      </c>
      <c r="K19" s="8"/>
      <c r="L19" s="8"/>
      <c r="M19" s="8"/>
      <c r="N19" s="8"/>
    </row>
    <row r="20" spans="1:14" ht="16.5" thickBot="1" x14ac:dyDescent="0.3">
      <c r="A20" s="20" t="s">
        <v>30</v>
      </c>
      <c r="B20" s="22"/>
      <c r="C20" s="22"/>
      <c r="D20" s="22"/>
      <c r="E20" s="22"/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0" t="s">
        <v>14</v>
      </c>
      <c r="B21" s="30"/>
      <c r="C21" s="30"/>
      <c r="D21" s="30"/>
      <c r="E21" s="30"/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ht="17" thickBot="1" x14ac:dyDescent="0.25">
      <c r="A22" s="20" t="s">
        <v>31</v>
      </c>
      <c r="B22" s="33"/>
      <c r="C22" s="31"/>
      <c r="D22" s="31"/>
      <c r="E22" s="31"/>
      <c r="J22" s="19">
        <v>0</v>
      </c>
      <c r="K22" s="19">
        <v>0</v>
      </c>
      <c r="L22" s="19">
        <v>0</v>
      </c>
      <c r="M22" s="19">
        <v>0</v>
      </c>
      <c r="N22" s="19">
        <v>0</v>
      </c>
    </row>
    <row r="23" spans="1:14" ht="17" thickBot="1" x14ac:dyDescent="0.25">
      <c r="A23" s="32" t="s">
        <v>13</v>
      </c>
      <c r="B23" s="34">
        <f>SUM(B22:E22)</f>
        <v>0</v>
      </c>
    </row>
  </sheetData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CVA_STATIC</vt:lpstr>
      <vt:lpstr>STATIC_CORRECTED</vt:lpstr>
      <vt:lpstr>CVA_DYNAMIC EDIT</vt:lpstr>
      <vt:lpstr>CVA_DYNAMIC</vt:lpstr>
    </vt:vector>
  </TitlesOfParts>
  <Company>SDA Bocconi School of Management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Pena</dc:creator>
  <cp:lastModifiedBy>Microsoft Office User</cp:lastModifiedBy>
  <dcterms:created xsi:type="dcterms:W3CDTF">2014-07-22T20:23:34Z</dcterms:created>
  <dcterms:modified xsi:type="dcterms:W3CDTF">2016-11-27T05:53:33Z</dcterms:modified>
</cp:coreProperties>
</file>