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PSTEIN\Dropbox\- CQF Class Notes\ = [Module 5] =\[\CQF_January_2016_M5S6_Excel\"/>
    </mc:Choice>
  </mc:AlternateContent>
  <bookViews>
    <workbookView xWindow="0" yWindow="0" windowWidth="19200" windowHeight="6950" activeTab="2"/>
  </bookViews>
  <sheets>
    <sheet name="Sheet1" sheetId="1" r:id="rId1"/>
    <sheet name="Sheet2" sheetId="2" r:id="rId2"/>
    <sheet name="Sheet3" sheetId="3" r:id="rId3"/>
  </sheets>
  <calcPr calcId="171027" calcMode="manual" calcCompleted="0" calcOnSave="0"/>
</workbook>
</file>

<file path=xl/calcChain.xml><?xml version="1.0" encoding="utf-8"?>
<calcChain xmlns="http://schemas.openxmlformats.org/spreadsheetml/2006/main">
  <c r="N3" i="1" l="1"/>
  <c r="N4" i="1"/>
  <c r="N2" i="1"/>
  <c r="G11" i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H110" i="1" s="1"/>
  <c r="C24" i="1"/>
  <c r="C40" i="1"/>
  <c r="C56" i="1"/>
  <c r="C72" i="1"/>
  <c r="C88" i="1"/>
  <c r="C104" i="1"/>
  <c r="F4" i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" i="1"/>
  <c r="C11" i="1" s="1"/>
  <c r="I110" i="1" l="1"/>
  <c r="H108" i="1"/>
  <c r="I108" i="1" s="1"/>
  <c r="H106" i="1"/>
  <c r="I106" i="1" s="1"/>
  <c r="H104" i="1"/>
  <c r="I104" i="1" s="1"/>
  <c r="H102" i="1"/>
  <c r="I102" i="1" s="1"/>
  <c r="H100" i="1"/>
  <c r="I100" i="1" s="1"/>
  <c r="H98" i="1"/>
  <c r="I98" i="1" s="1"/>
  <c r="H96" i="1"/>
  <c r="I96" i="1" s="1"/>
  <c r="H94" i="1"/>
  <c r="I94" i="1" s="1"/>
  <c r="H92" i="1"/>
  <c r="I92" i="1" s="1"/>
  <c r="H90" i="1"/>
  <c r="I90" i="1" s="1"/>
  <c r="H88" i="1"/>
  <c r="I88" i="1" s="1"/>
  <c r="H86" i="1"/>
  <c r="I86" i="1" s="1"/>
  <c r="H84" i="1"/>
  <c r="I84" i="1" s="1"/>
  <c r="H82" i="1"/>
  <c r="I82" i="1" s="1"/>
  <c r="H80" i="1"/>
  <c r="I80" i="1" s="1"/>
  <c r="H78" i="1"/>
  <c r="I78" i="1" s="1"/>
  <c r="H76" i="1"/>
  <c r="I76" i="1" s="1"/>
  <c r="H74" i="1"/>
  <c r="I74" i="1" s="1"/>
  <c r="H72" i="1"/>
  <c r="I72" i="1" s="1"/>
  <c r="H70" i="1"/>
  <c r="I70" i="1" s="1"/>
  <c r="H68" i="1"/>
  <c r="I68" i="1" s="1"/>
  <c r="H66" i="1"/>
  <c r="I66" i="1" s="1"/>
  <c r="H64" i="1"/>
  <c r="I64" i="1" s="1"/>
  <c r="H62" i="1"/>
  <c r="I62" i="1" s="1"/>
  <c r="H60" i="1"/>
  <c r="I60" i="1" s="1"/>
  <c r="H58" i="1"/>
  <c r="I58" i="1" s="1"/>
  <c r="H56" i="1"/>
  <c r="I56" i="1" s="1"/>
  <c r="H54" i="1"/>
  <c r="I54" i="1" s="1"/>
  <c r="H52" i="1"/>
  <c r="I52" i="1" s="1"/>
  <c r="H50" i="1"/>
  <c r="I50" i="1" s="1"/>
  <c r="H48" i="1"/>
  <c r="I48" i="1" s="1"/>
  <c r="H46" i="1"/>
  <c r="I46" i="1" s="1"/>
  <c r="H44" i="1"/>
  <c r="I44" i="1" s="1"/>
  <c r="H42" i="1"/>
  <c r="I42" i="1" s="1"/>
  <c r="H40" i="1"/>
  <c r="I40" i="1" s="1"/>
  <c r="H38" i="1"/>
  <c r="I38" i="1" s="1"/>
  <c r="H36" i="1"/>
  <c r="I36" i="1" s="1"/>
  <c r="H34" i="1"/>
  <c r="I34" i="1" s="1"/>
  <c r="H32" i="1"/>
  <c r="I32" i="1" s="1"/>
  <c r="H30" i="1"/>
  <c r="I30" i="1" s="1"/>
  <c r="H28" i="1"/>
  <c r="I28" i="1" s="1"/>
  <c r="H26" i="1"/>
  <c r="I26" i="1" s="1"/>
  <c r="H24" i="1"/>
  <c r="I24" i="1" s="1"/>
  <c r="H22" i="1"/>
  <c r="I22" i="1" s="1"/>
  <c r="H20" i="1"/>
  <c r="I20" i="1" s="1"/>
  <c r="H18" i="1"/>
  <c r="I18" i="1" s="1"/>
  <c r="H16" i="1"/>
  <c r="I16" i="1" s="1"/>
  <c r="H14" i="1"/>
  <c r="I14" i="1" s="1"/>
  <c r="H12" i="1"/>
  <c r="I12" i="1" s="1"/>
  <c r="H109" i="1"/>
  <c r="I109" i="1" s="1"/>
  <c r="H107" i="1"/>
  <c r="I107" i="1" s="1"/>
  <c r="H105" i="1"/>
  <c r="I105" i="1" s="1"/>
  <c r="H103" i="1"/>
  <c r="I103" i="1" s="1"/>
  <c r="H101" i="1"/>
  <c r="I101" i="1" s="1"/>
  <c r="H99" i="1"/>
  <c r="I99" i="1" s="1"/>
  <c r="H97" i="1"/>
  <c r="I97" i="1" s="1"/>
  <c r="H95" i="1"/>
  <c r="I95" i="1" s="1"/>
  <c r="H93" i="1"/>
  <c r="I93" i="1" s="1"/>
  <c r="H91" i="1"/>
  <c r="I91" i="1" s="1"/>
  <c r="H89" i="1"/>
  <c r="I89" i="1" s="1"/>
  <c r="H87" i="1"/>
  <c r="I87" i="1" s="1"/>
  <c r="H85" i="1"/>
  <c r="I85" i="1" s="1"/>
  <c r="H83" i="1"/>
  <c r="I83" i="1" s="1"/>
  <c r="H81" i="1"/>
  <c r="I81" i="1" s="1"/>
  <c r="H79" i="1"/>
  <c r="I79" i="1" s="1"/>
  <c r="H77" i="1"/>
  <c r="I77" i="1" s="1"/>
  <c r="H75" i="1"/>
  <c r="I75" i="1" s="1"/>
  <c r="H73" i="1"/>
  <c r="I73" i="1" s="1"/>
  <c r="H71" i="1"/>
  <c r="I71" i="1" s="1"/>
  <c r="H69" i="1"/>
  <c r="I69" i="1" s="1"/>
  <c r="H67" i="1"/>
  <c r="I67" i="1" s="1"/>
  <c r="H65" i="1"/>
  <c r="I65" i="1" s="1"/>
  <c r="H63" i="1"/>
  <c r="I63" i="1" s="1"/>
  <c r="H61" i="1"/>
  <c r="I61" i="1" s="1"/>
  <c r="H59" i="1"/>
  <c r="I59" i="1" s="1"/>
  <c r="H57" i="1"/>
  <c r="I57" i="1" s="1"/>
  <c r="H55" i="1"/>
  <c r="I55" i="1" s="1"/>
  <c r="H53" i="1"/>
  <c r="I53" i="1" s="1"/>
  <c r="H51" i="1"/>
  <c r="I51" i="1" s="1"/>
  <c r="H49" i="1"/>
  <c r="I49" i="1" s="1"/>
  <c r="H47" i="1"/>
  <c r="I47" i="1" s="1"/>
  <c r="H45" i="1"/>
  <c r="I45" i="1" s="1"/>
  <c r="H43" i="1"/>
  <c r="I43" i="1" s="1"/>
  <c r="H41" i="1"/>
  <c r="I41" i="1" s="1"/>
  <c r="H39" i="1"/>
  <c r="I39" i="1" s="1"/>
  <c r="H37" i="1"/>
  <c r="I37" i="1" s="1"/>
  <c r="H35" i="1"/>
  <c r="I35" i="1" s="1"/>
  <c r="H33" i="1"/>
  <c r="I33" i="1" s="1"/>
  <c r="H31" i="1"/>
  <c r="I31" i="1" s="1"/>
  <c r="H29" i="1"/>
  <c r="I29" i="1" s="1"/>
  <c r="H27" i="1"/>
  <c r="I27" i="1" s="1"/>
  <c r="H25" i="1"/>
  <c r="I25" i="1" s="1"/>
  <c r="H23" i="1"/>
  <c r="I23" i="1" s="1"/>
  <c r="H21" i="1"/>
  <c r="I21" i="1" s="1"/>
  <c r="H19" i="1"/>
  <c r="I19" i="1" s="1"/>
  <c r="H17" i="1"/>
  <c r="I17" i="1" s="1"/>
  <c r="H15" i="1"/>
  <c r="I15" i="1" s="1"/>
  <c r="H13" i="1"/>
  <c r="I13" i="1" s="1"/>
  <c r="H11" i="1"/>
  <c r="I11" i="1" s="1"/>
  <c r="I4" i="1" l="1"/>
  <c r="O2" i="1" l="1"/>
  <c r="O4" i="1"/>
  <c r="O3" i="1"/>
  <c r="Q2" i="1" l="1"/>
  <c r="P2" i="1"/>
  <c r="P4" i="1"/>
  <c r="Q4" i="1"/>
  <c r="M8" i="1"/>
  <c r="Q3" i="1"/>
  <c r="P3" i="1"/>
</calcChain>
</file>

<file path=xl/sharedStrings.xml><?xml version="1.0" encoding="utf-8"?>
<sst xmlns="http://schemas.openxmlformats.org/spreadsheetml/2006/main" count="22" uniqueCount="22">
  <si>
    <t>Loan</t>
  </si>
  <si>
    <t>PD</t>
  </si>
  <si>
    <t>LGD</t>
  </si>
  <si>
    <t>EAD</t>
  </si>
  <si>
    <t>W</t>
  </si>
  <si>
    <t>sumEAD</t>
  </si>
  <si>
    <t>Z</t>
  </si>
  <si>
    <t>A</t>
  </si>
  <si>
    <t>Loss</t>
  </si>
  <si>
    <t>d</t>
  </si>
  <si>
    <t>Ploss</t>
  </si>
  <si>
    <t>Tranche</t>
  </si>
  <si>
    <t>ET</t>
  </si>
  <si>
    <t>MT</t>
  </si>
  <si>
    <t>ST</t>
  </si>
  <si>
    <t>Apt</t>
  </si>
  <si>
    <t>Dpt</t>
  </si>
  <si>
    <t>Size</t>
  </si>
  <si>
    <t>Tloss</t>
  </si>
  <si>
    <t>sumLoss</t>
  </si>
  <si>
    <t>Spread</t>
  </si>
  <si>
    <t>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</si>
</sst>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10" fontId="0" fillId="2" borderId="0" xfId="0" applyNumberFormat="1" applyFill="1" applyAlignment="1">
      <alignment horizontal="center"/>
    </xf>
    <xf numFmtId="164" fontId="0" fillId="2" borderId="0" xfId="1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8</xdr:row>
          <xdr:rowOff>95250</xdr:rowOff>
        </xdr:from>
        <xdr:to>
          <xdr:col>16</xdr:col>
          <xdr:colOff>171450</xdr:colOff>
          <xdr:row>13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7D29A58-A7A3-460E-B892-C01190B31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10"/>
  <sheetViews>
    <sheetView topLeftCell="D1" workbookViewId="0">
      <selection activeCell="P1" sqref="P1"/>
    </sheetView>
  </sheetViews>
  <sheetFormatPr defaultColWidth="9.1796875" defaultRowHeight="14.5" x14ac:dyDescent="0.35"/>
  <cols>
    <col min="1" max="5" width="9.1796875" style="1"/>
    <col min="6" max="6" width="9.1796875" style="2"/>
    <col min="7" max="8" width="9.1796875" style="1"/>
    <col min="9" max="9" width="9.1796875" style="2"/>
    <col min="10" max="15" width="9.1796875" style="1"/>
    <col min="16" max="16" width="11.1796875" style="1" customWidth="1"/>
    <col min="17" max="16384" width="9.1796875" style="1"/>
  </cols>
  <sheetData>
    <row r="1" spans="1:17" x14ac:dyDescent="0.35">
      <c r="K1" s="1" t="s">
        <v>11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</row>
    <row r="2" spans="1:17" x14ac:dyDescent="0.35">
      <c r="K2" s="1" t="s">
        <v>12</v>
      </c>
      <c r="L2" s="1">
        <v>0</v>
      </c>
      <c r="M2" s="3">
        <v>0.03</v>
      </c>
      <c r="N2" s="6">
        <f>M2-L2</f>
        <v>0.03</v>
      </c>
      <c r="O2" s="6">
        <f ca="1">MAX(MIN($I$4,M2)-L2,0)/N2</f>
        <v>1</v>
      </c>
      <c r="P2" s="6">
        <f ca="1">O2+P2</f>
        <v>568.39999999999975</v>
      </c>
      <c r="Q2" s="7">
        <f ca="1">P2/$M$8</f>
        <v>0.56669990029910244</v>
      </c>
    </row>
    <row r="3" spans="1:17" x14ac:dyDescent="0.35">
      <c r="K3" s="1" t="s">
        <v>13</v>
      </c>
      <c r="L3" s="3">
        <v>0.03</v>
      </c>
      <c r="M3" s="3">
        <v>7.0000000000000007E-2</v>
      </c>
      <c r="N3" s="6">
        <f t="shared" ref="N3:N4" si="0">M3-L3</f>
        <v>4.0000000000000008E-2</v>
      </c>
      <c r="O3" s="6">
        <f t="shared" ref="O3:O4" ca="1" si="1">MAX(MIN($I$4,M3)-L3,0)/N3</f>
        <v>0.14999999999999994</v>
      </c>
      <c r="P3" s="6">
        <f t="shared" ref="P3:P4" ca="1" si="2">O3+P3</f>
        <v>207.60000000000008</v>
      </c>
      <c r="Q3" s="7">
        <f t="shared" ref="Q3:Q4" ca="1" si="3">P3/$M$8</f>
        <v>0.20697906281156539</v>
      </c>
    </row>
    <row r="4" spans="1:17" x14ac:dyDescent="0.35">
      <c r="E4" s="1" t="s">
        <v>5</v>
      </c>
      <c r="F4" s="2">
        <f>SUM(E11:E110)</f>
        <v>10000</v>
      </c>
      <c r="H4" s="1" t="s">
        <v>10</v>
      </c>
      <c r="I4" s="5">
        <f ca="1">SUM(I11:I110)/F4</f>
        <v>3.5999999999999997E-2</v>
      </c>
      <c r="K4" s="1" t="s">
        <v>14</v>
      </c>
      <c r="L4" s="3">
        <v>7.0000000000000007E-2</v>
      </c>
      <c r="M4" s="3">
        <v>1</v>
      </c>
      <c r="N4" s="6">
        <f t="shared" si="0"/>
        <v>0.92999999999999994</v>
      </c>
      <c r="O4" s="6">
        <f t="shared" ca="1" si="1"/>
        <v>0</v>
      </c>
      <c r="P4" s="6">
        <f t="shared" ca="1" si="2"/>
        <v>6.7354838709677427</v>
      </c>
      <c r="Q4" s="7">
        <f t="shared" ca="1" si="3"/>
        <v>6.7153378573955556E-3</v>
      </c>
    </row>
    <row r="8" spans="1:17" x14ac:dyDescent="0.35">
      <c r="L8" s="1" t="s">
        <v>21</v>
      </c>
      <c r="M8" s="1">
        <f ca="1">1+M8</f>
        <v>1004</v>
      </c>
    </row>
    <row r="10" spans="1:17" x14ac:dyDescent="0.35">
      <c r="A10" s="1" t="s">
        <v>0</v>
      </c>
      <c r="B10" s="1" t="s">
        <v>1</v>
      </c>
      <c r="C10" s="1" t="s">
        <v>9</v>
      </c>
      <c r="D10" s="1" t="s">
        <v>2</v>
      </c>
      <c r="E10" s="1" t="s">
        <v>3</v>
      </c>
      <c r="F10" s="2" t="s">
        <v>4</v>
      </c>
      <c r="G10" s="1" t="s">
        <v>6</v>
      </c>
      <c r="H10" s="1" t="s">
        <v>7</v>
      </c>
      <c r="I10" s="2" t="s">
        <v>8</v>
      </c>
    </row>
    <row r="11" spans="1:17" x14ac:dyDescent="0.35">
      <c r="A11" s="1">
        <v>1</v>
      </c>
      <c r="B11" s="1">
        <f>1-EXP(-5%)</f>
        <v>4.8770575499285984E-2</v>
      </c>
      <c r="C11" s="1">
        <f>NORMSINV(B11)</f>
        <v>-1.6568927965620148</v>
      </c>
      <c r="D11" s="3">
        <v>0.6</v>
      </c>
      <c r="E11" s="1">
        <v>100</v>
      </c>
      <c r="F11" s="4">
        <v>0.5</v>
      </c>
      <c r="G11" s="1">
        <f ca="1">NORMSINV(RAND())</f>
        <v>-0.56230133565957396</v>
      </c>
      <c r="H11" s="1">
        <f ca="1">F11*G11+SQRT(1-F11^2)*NORMSINV(RAND())</f>
        <v>0.42788562925100487</v>
      </c>
      <c r="I11" s="2">
        <f ca="1">IF(H11&lt;C11,1,0)*D11*E11</f>
        <v>0</v>
      </c>
    </row>
    <row r="12" spans="1:17" x14ac:dyDescent="0.35">
      <c r="A12" s="1">
        <v>2</v>
      </c>
      <c r="B12" s="1">
        <f t="shared" ref="B12:B75" si="4">1-EXP(-5%)</f>
        <v>4.8770575499285984E-2</v>
      </c>
      <c r="C12" s="1">
        <f t="shared" ref="C12:C75" si="5">NORMSINV(B12)</f>
        <v>-1.6568927965620148</v>
      </c>
      <c r="D12" s="3">
        <v>0.6</v>
      </c>
      <c r="E12" s="1">
        <v>100</v>
      </c>
      <c r="F12" s="4">
        <v>0.5</v>
      </c>
      <c r="G12" s="1">
        <f ca="1">G11</f>
        <v>-0.56230133565957396</v>
      </c>
      <c r="H12" s="1">
        <f t="shared" ref="H12:H75" ca="1" si="6">F12*G12+SQRT(1-F12^2)*NORMSINV(RAND())</f>
        <v>-2.2085923711777662</v>
      </c>
      <c r="I12" s="2">
        <f t="shared" ref="I12:I75" ca="1" si="7">IF(H12&lt;C12,1,0)*D12*E12</f>
        <v>60</v>
      </c>
    </row>
    <row r="13" spans="1:17" x14ac:dyDescent="0.35">
      <c r="A13" s="1">
        <v>3</v>
      </c>
      <c r="B13" s="1">
        <f t="shared" si="4"/>
        <v>4.8770575499285984E-2</v>
      </c>
      <c r="C13" s="1">
        <f t="shared" si="5"/>
        <v>-1.6568927965620148</v>
      </c>
      <c r="D13" s="3">
        <v>0.6</v>
      </c>
      <c r="E13" s="1">
        <v>100</v>
      </c>
      <c r="F13" s="4">
        <v>0.5</v>
      </c>
      <c r="G13" s="1">
        <f t="shared" ref="G13:G76" ca="1" si="8">G12</f>
        <v>-0.56230133565957396</v>
      </c>
      <c r="H13" s="1">
        <f t="shared" ca="1" si="6"/>
        <v>1.0757124311741311</v>
      </c>
      <c r="I13" s="2">
        <f t="shared" ca="1" si="7"/>
        <v>0</v>
      </c>
    </row>
    <row r="14" spans="1:17" x14ac:dyDescent="0.35">
      <c r="A14" s="1">
        <v>4</v>
      </c>
      <c r="B14" s="1">
        <f t="shared" si="4"/>
        <v>4.8770575499285984E-2</v>
      </c>
      <c r="C14" s="1">
        <f t="shared" si="5"/>
        <v>-1.6568927965620148</v>
      </c>
      <c r="D14" s="3">
        <v>0.6</v>
      </c>
      <c r="E14" s="1">
        <v>100</v>
      </c>
      <c r="F14" s="4">
        <v>0.5</v>
      </c>
      <c r="G14" s="1">
        <f t="shared" ca="1" si="8"/>
        <v>-0.56230133565957396</v>
      </c>
      <c r="H14" s="1">
        <f t="shared" ca="1" si="6"/>
        <v>-0.29003941530446609</v>
      </c>
      <c r="I14" s="2">
        <f t="shared" ca="1" si="7"/>
        <v>0</v>
      </c>
    </row>
    <row r="15" spans="1:17" x14ac:dyDescent="0.35">
      <c r="A15" s="1">
        <v>5</v>
      </c>
      <c r="B15" s="1">
        <f t="shared" si="4"/>
        <v>4.8770575499285984E-2</v>
      </c>
      <c r="C15" s="1">
        <f t="shared" si="5"/>
        <v>-1.6568927965620148</v>
      </c>
      <c r="D15" s="3">
        <v>0.6</v>
      </c>
      <c r="E15" s="1">
        <v>100</v>
      </c>
      <c r="F15" s="4">
        <v>0.5</v>
      </c>
      <c r="G15" s="1">
        <f t="shared" ca="1" si="8"/>
        <v>-0.56230133565957396</v>
      </c>
      <c r="H15" s="1">
        <f t="shared" ca="1" si="6"/>
        <v>-0.57258156030755847</v>
      </c>
      <c r="I15" s="2">
        <f t="shared" ca="1" si="7"/>
        <v>0</v>
      </c>
    </row>
    <row r="16" spans="1:17" x14ac:dyDescent="0.35">
      <c r="A16" s="1">
        <v>6</v>
      </c>
      <c r="B16" s="1">
        <f t="shared" si="4"/>
        <v>4.8770575499285984E-2</v>
      </c>
      <c r="C16" s="1">
        <f t="shared" si="5"/>
        <v>-1.6568927965620148</v>
      </c>
      <c r="D16" s="3">
        <v>0.6</v>
      </c>
      <c r="E16" s="1">
        <v>100</v>
      </c>
      <c r="F16" s="4">
        <v>0.5</v>
      </c>
      <c r="G16" s="1">
        <f t="shared" ca="1" si="8"/>
        <v>-0.56230133565957396</v>
      </c>
      <c r="H16" s="1">
        <f t="shared" ca="1" si="6"/>
        <v>-0.10404040641130743</v>
      </c>
      <c r="I16" s="2">
        <f t="shared" ca="1" si="7"/>
        <v>0</v>
      </c>
    </row>
    <row r="17" spans="1:9" x14ac:dyDescent="0.35">
      <c r="A17" s="1">
        <v>7</v>
      </c>
      <c r="B17" s="1">
        <f t="shared" si="4"/>
        <v>4.8770575499285984E-2</v>
      </c>
      <c r="C17" s="1">
        <f t="shared" si="5"/>
        <v>-1.6568927965620148</v>
      </c>
      <c r="D17" s="3">
        <v>0.6</v>
      </c>
      <c r="E17" s="1">
        <v>100</v>
      </c>
      <c r="F17" s="4">
        <v>0.5</v>
      </c>
      <c r="G17" s="1">
        <f t="shared" ca="1" si="8"/>
        <v>-0.56230133565957396</v>
      </c>
      <c r="H17" s="1">
        <f t="shared" ca="1" si="6"/>
        <v>1.4555625596146464</v>
      </c>
      <c r="I17" s="2">
        <f t="shared" ca="1" si="7"/>
        <v>0</v>
      </c>
    </row>
    <row r="18" spans="1:9" x14ac:dyDescent="0.35">
      <c r="A18" s="1">
        <v>8</v>
      </c>
      <c r="B18" s="1">
        <f t="shared" si="4"/>
        <v>4.8770575499285984E-2</v>
      </c>
      <c r="C18" s="1">
        <f t="shared" si="5"/>
        <v>-1.6568927965620148</v>
      </c>
      <c r="D18" s="3">
        <v>0.6</v>
      </c>
      <c r="E18" s="1">
        <v>100</v>
      </c>
      <c r="F18" s="4">
        <v>0.5</v>
      </c>
      <c r="G18" s="1">
        <f t="shared" ca="1" si="8"/>
        <v>-0.56230133565957396</v>
      </c>
      <c r="H18" s="1">
        <f t="shared" ca="1" si="6"/>
        <v>-0.13429741549780314</v>
      </c>
      <c r="I18" s="2">
        <f t="shared" ca="1" si="7"/>
        <v>0</v>
      </c>
    </row>
    <row r="19" spans="1:9" x14ac:dyDescent="0.35">
      <c r="A19" s="1">
        <v>9</v>
      </c>
      <c r="B19" s="1">
        <f t="shared" si="4"/>
        <v>4.8770575499285984E-2</v>
      </c>
      <c r="C19" s="1">
        <f t="shared" si="5"/>
        <v>-1.6568927965620148</v>
      </c>
      <c r="D19" s="3">
        <v>0.6</v>
      </c>
      <c r="E19" s="1">
        <v>100</v>
      </c>
      <c r="F19" s="4">
        <v>0.5</v>
      </c>
      <c r="G19" s="1">
        <f t="shared" ca="1" si="8"/>
        <v>-0.56230133565957396</v>
      </c>
      <c r="H19" s="1">
        <f t="shared" ca="1" si="6"/>
        <v>6.8607899146977624E-2</v>
      </c>
      <c r="I19" s="2">
        <f t="shared" ca="1" si="7"/>
        <v>0</v>
      </c>
    </row>
    <row r="20" spans="1:9" x14ac:dyDescent="0.35">
      <c r="A20" s="1">
        <v>10</v>
      </c>
      <c r="B20" s="1">
        <f t="shared" si="4"/>
        <v>4.8770575499285984E-2</v>
      </c>
      <c r="C20" s="1">
        <f t="shared" si="5"/>
        <v>-1.6568927965620148</v>
      </c>
      <c r="D20" s="3">
        <v>0.6</v>
      </c>
      <c r="E20" s="1">
        <v>100</v>
      </c>
      <c r="F20" s="4">
        <v>0.5</v>
      </c>
      <c r="G20" s="1">
        <f t="shared" ca="1" si="8"/>
        <v>-0.56230133565957396</v>
      </c>
      <c r="H20" s="1">
        <f t="shared" ca="1" si="6"/>
        <v>-1.0485733729147753</v>
      </c>
      <c r="I20" s="2">
        <f t="shared" ca="1" si="7"/>
        <v>0</v>
      </c>
    </row>
    <row r="21" spans="1:9" x14ac:dyDescent="0.35">
      <c r="A21" s="1">
        <v>11</v>
      </c>
      <c r="B21" s="1">
        <f t="shared" si="4"/>
        <v>4.8770575499285984E-2</v>
      </c>
      <c r="C21" s="1">
        <f t="shared" si="5"/>
        <v>-1.6568927965620148</v>
      </c>
      <c r="D21" s="3">
        <v>0.6</v>
      </c>
      <c r="E21" s="1">
        <v>100</v>
      </c>
      <c r="F21" s="4">
        <v>0.5</v>
      </c>
      <c r="G21" s="1">
        <f t="shared" ca="1" si="8"/>
        <v>-0.56230133565957396</v>
      </c>
      <c r="H21" s="1">
        <f t="shared" ca="1" si="6"/>
        <v>-1.1342126037386349</v>
      </c>
      <c r="I21" s="2">
        <f t="shared" ca="1" si="7"/>
        <v>0</v>
      </c>
    </row>
    <row r="22" spans="1:9" x14ac:dyDescent="0.35">
      <c r="A22" s="1">
        <v>12</v>
      </c>
      <c r="B22" s="1">
        <f t="shared" si="4"/>
        <v>4.8770575499285984E-2</v>
      </c>
      <c r="C22" s="1">
        <f t="shared" si="5"/>
        <v>-1.6568927965620148</v>
      </c>
      <c r="D22" s="3">
        <v>0.6</v>
      </c>
      <c r="E22" s="1">
        <v>100</v>
      </c>
      <c r="F22" s="4">
        <v>0.5</v>
      </c>
      <c r="G22" s="1">
        <f t="shared" ca="1" si="8"/>
        <v>-0.56230133565957396</v>
      </c>
      <c r="H22" s="1">
        <f t="shared" ca="1" si="6"/>
        <v>-0.45422360109319465</v>
      </c>
      <c r="I22" s="2">
        <f t="shared" ca="1" si="7"/>
        <v>0</v>
      </c>
    </row>
    <row r="23" spans="1:9" x14ac:dyDescent="0.35">
      <c r="A23" s="1">
        <v>13</v>
      </c>
      <c r="B23" s="1">
        <f t="shared" si="4"/>
        <v>4.8770575499285984E-2</v>
      </c>
      <c r="C23" s="1">
        <f t="shared" si="5"/>
        <v>-1.6568927965620148</v>
      </c>
      <c r="D23" s="3">
        <v>0.6</v>
      </c>
      <c r="E23" s="1">
        <v>100</v>
      </c>
      <c r="F23" s="4">
        <v>0.5</v>
      </c>
      <c r="G23" s="1">
        <f t="shared" ca="1" si="8"/>
        <v>-0.56230133565957396</v>
      </c>
      <c r="H23" s="1">
        <f t="shared" ca="1" si="6"/>
        <v>0.36052056188150167</v>
      </c>
      <c r="I23" s="2">
        <f t="shared" ca="1" si="7"/>
        <v>0</v>
      </c>
    </row>
    <row r="24" spans="1:9" x14ac:dyDescent="0.35">
      <c r="A24" s="1">
        <v>14</v>
      </c>
      <c r="B24" s="1">
        <f t="shared" si="4"/>
        <v>4.8770575499285984E-2</v>
      </c>
      <c r="C24" s="1">
        <f t="shared" si="5"/>
        <v>-1.6568927965620148</v>
      </c>
      <c r="D24" s="3">
        <v>0.6</v>
      </c>
      <c r="E24" s="1">
        <v>100</v>
      </c>
      <c r="F24" s="4">
        <v>0.5</v>
      </c>
      <c r="G24" s="1">
        <f t="shared" ca="1" si="8"/>
        <v>-0.56230133565957396</v>
      </c>
      <c r="H24" s="1">
        <f t="shared" ca="1" si="6"/>
        <v>-0.38011511941244958</v>
      </c>
      <c r="I24" s="2">
        <f t="shared" ca="1" si="7"/>
        <v>0</v>
      </c>
    </row>
    <row r="25" spans="1:9" x14ac:dyDescent="0.35">
      <c r="A25" s="1">
        <v>15</v>
      </c>
      <c r="B25" s="1">
        <f t="shared" si="4"/>
        <v>4.8770575499285984E-2</v>
      </c>
      <c r="C25" s="1">
        <f t="shared" si="5"/>
        <v>-1.6568927965620148</v>
      </c>
      <c r="D25" s="3">
        <v>0.6</v>
      </c>
      <c r="E25" s="1">
        <v>100</v>
      </c>
      <c r="F25" s="4">
        <v>0.5</v>
      </c>
      <c r="G25" s="1">
        <f t="shared" ca="1" si="8"/>
        <v>-0.56230133565957396</v>
      </c>
      <c r="H25" s="1">
        <f t="shared" ca="1" si="6"/>
        <v>0.88269478490609465</v>
      </c>
      <c r="I25" s="2">
        <f t="shared" ca="1" si="7"/>
        <v>0</v>
      </c>
    </row>
    <row r="26" spans="1:9" x14ac:dyDescent="0.35">
      <c r="A26" s="1">
        <v>16</v>
      </c>
      <c r="B26" s="1">
        <f t="shared" si="4"/>
        <v>4.8770575499285984E-2</v>
      </c>
      <c r="C26" s="1">
        <f t="shared" si="5"/>
        <v>-1.6568927965620148</v>
      </c>
      <c r="D26" s="3">
        <v>0.6</v>
      </c>
      <c r="E26" s="1">
        <v>100</v>
      </c>
      <c r="F26" s="4">
        <v>0.5</v>
      </c>
      <c r="G26" s="1">
        <f t="shared" ca="1" si="8"/>
        <v>-0.56230133565957396</v>
      </c>
      <c r="H26" s="1">
        <f t="shared" ca="1" si="6"/>
        <v>0.10851361542068277</v>
      </c>
      <c r="I26" s="2">
        <f t="shared" ca="1" si="7"/>
        <v>0</v>
      </c>
    </row>
    <row r="27" spans="1:9" x14ac:dyDescent="0.35">
      <c r="A27" s="1">
        <v>17</v>
      </c>
      <c r="B27" s="1">
        <f t="shared" si="4"/>
        <v>4.8770575499285984E-2</v>
      </c>
      <c r="C27" s="1">
        <f t="shared" si="5"/>
        <v>-1.6568927965620148</v>
      </c>
      <c r="D27" s="3">
        <v>0.6</v>
      </c>
      <c r="E27" s="1">
        <v>100</v>
      </c>
      <c r="F27" s="4">
        <v>0.5</v>
      </c>
      <c r="G27" s="1">
        <f t="shared" ca="1" si="8"/>
        <v>-0.56230133565957396</v>
      </c>
      <c r="H27" s="1">
        <f t="shared" ca="1" si="6"/>
        <v>-0.39796065831529592</v>
      </c>
      <c r="I27" s="2">
        <f t="shared" ca="1" si="7"/>
        <v>0</v>
      </c>
    </row>
    <row r="28" spans="1:9" x14ac:dyDescent="0.35">
      <c r="A28" s="1">
        <v>18</v>
      </c>
      <c r="B28" s="1">
        <f t="shared" si="4"/>
        <v>4.8770575499285984E-2</v>
      </c>
      <c r="C28" s="1">
        <f t="shared" si="5"/>
        <v>-1.6568927965620148</v>
      </c>
      <c r="D28" s="3">
        <v>0.6</v>
      </c>
      <c r="E28" s="1">
        <v>100</v>
      </c>
      <c r="F28" s="4">
        <v>0.5</v>
      </c>
      <c r="G28" s="1">
        <f t="shared" ca="1" si="8"/>
        <v>-0.56230133565957396</v>
      </c>
      <c r="H28" s="1">
        <f t="shared" ca="1" si="6"/>
        <v>-3.7484611861287348E-2</v>
      </c>
      <c r="I28" s="2">
        <f t="shared" ca="1" si="7"/>
        <v>0</v>
      </c>
    </row>
    <row r="29" spans="1:9" x14ac:dyDescent="0.35">
      <c r="A29" s="1">
        <v>19</v>
      </c>
      <c r="B29" s="1">
        <f t="shared" si="4"/>
        <v>4.8770575499285984E-2</v>
      </c>
      <c r="C29" s="1">
        <f t="shared" si="5"/>
        <v>-1.6568927965620148</v>
      </c>
      <c r="D29" s="3">
        <v>0.6</v>
      </c>
      <c r="E29" s="1">
        <v>100</v>
      </c>
      <c r="F29" s="4">
        <v>0.5</v>
      </c>
      <c r="G29" s="1">
        <f t="shared" ca="1" si="8"/>
        <v>-0.56230133565957396</v>
      </c>
      <c r="H29" s="1">
        <f t="shared" ca="1" si="6"/>
        <v>0.16540707880865008</v>
      </c>
      <c r="I29" s="2">
        <f t="shared" ca="1" si="7"/>
        <v>0</v>
      </c>
    </row>
    <row r="30" spans="1:9" x14ac:dyDescent="0.35">
      <c r="A30" s="1">
        <v>20</v>
      </c>
      <c r="B30" s="1">
        <f t="shared" si="4"/>
        <v>4.8770575499285984E-2</v>
      </c>
      <c r="C30" s="1">
        <f t="shared" si="5"/>
        <v>-1.6568927965620148</v>
      </c>
      <c r="D30" s="3">
        <v>0.6</v>
      </c>
      <c r="E30" s="1">
        <v>100</v>
      </c>
      <c r="F30" s="4">
        <v>0.5</v>
      </c>
      <c r="G30" s="1">
        <f t="shared" ca="1" si="8"/>
        <v>-0.56230133565957396</v>
      </c>
      <c r="H30" s="1">
        <f t="shared" ca="1" si="6"/>
        <v>-0.54212679090994076</v>
      </c>
      <c r="I30" s="2">
        <f t="shared" ca="1" si="7"/>
        <v>0</v>
      </c>
    </row>
    <row r="31" spans="1:9" x14ac:dyDescent="0.35">
      <c r="A31" s="1">
        <v>21</v>
      </c>
      <c r="B31" s="1">
        <f t="shared" si="4"/>
        <v>4.8770575499285984E-2</v>
      </c>
      <c r="C31" s="1">
        <f t="shared" si="5"/>
        <v>-1.6568927965620148</v>
      </c>
      <c r="D31" s="3">
        <v>0.6</v>
      </c>
      <c r="E31" s="1">
        <v>100</v>
      </c>
      <c r="F31" s="4">
        <v>0.5</v>
      </c>
      <c r="G31" s="1">
        <f t="shared" ca="1" si="8"/>
        <v>-0.56230133565957396</v>
      </c>
      <c r="H31" s="1">
        <f t="shared" ca="1" si="6"/>
        <v>-0.36064672160020056</v>
      </c>
      <c r="I31" s="2">
        <f t="shared" ca="1" si="7"/>
        <v>0</v>
      </c>
    </row>
    <row r="32" spans="1:9" x14ac:dyDescent="0.35">
      <c r="A32" s="1">
        <v>22</v>
      </c>
      <c r="B32" s="1">
        <f t="shared" si="4"/>
        <v>4.8770575499285984E-2</v>
      </c>
      <c r="C32" s="1">
        <f t="shared" si="5"/>
        <v>-1.6568927965620148</v>
      </c>
      <c r="D32" s="3">
        <v>0.6</v>
      </c>
      <c r="E32" s="1">
        <v>100</v>
      </c>
      <c r="F32" s="4">
        <v>0.5</v>
      </c>
      <c r="G32" s="1">
        <f t="shared" ca="1" si="8"/>
        <v>-0.56230133565957396</v>
      </c>
      <c r="H32" s="1">
        <f t="shared" ca="1" si="6"/>
        <v>0.40148193607484889</v>
      </c>
      <c r="I32" s="2">
        <f t="shared" ca="1" si="7"/>
        <v>0</v>
      </c>
    </row>
    <row r="33" spans="1:9" x14ac:dyDescent="0.35">
      <c r="A33" s="1">
        <v>23</v>
      </c>
      <c r="B33" s="1">
        <f t="shared" si="4"/>
        <v>4.8770575499285984E-2</v>
      </c>
      <c r="C33" s="1">
        <f t="shared" si="5"/>
        <v>-1.6568927965620148</v>
      </c>
      <c r="D33" s="3">
        <v>0.6</v>
      </c>
      <c r="E33" s="1">
        <v>100</v>
      </c>
      <c r="F33" s="4">
        <v>0.5</v>
      </c>
      <c r="G33" s="1">
        <f t="shared" ca="1" si="8"/>
        <v>-0.56230133565957396</v>
      </c>
      <c r="H33" s="1">
        <f t="shared" ca="1" si="6"/>
        <v>-0.3281548795644495</v>
      </c>
      <c r="I33" s="2">
        <f t="shared" ca="1" si="7"/>
        <v>0</v>
      </c>
    </row>
    <row r="34" spans="1:9" x14ac:dyDescent="0.35">
      <c r="A34" s="1">
        <v>24</v>
      </c>
      <c r="B34" s="1">
        <f t="shared" si="4"/>
        <v>4.8770575499285984E-2</v>
      </c>
      <c r="C34" s="1">
        <f t="shared" si="5"/>
        <v>-1.6568927965620148</v>
      </c>
      <c r="D34" s="3">
        <v>0.6</v>
      </c>
      <c r="E34" s="1">
        <v>100</v>
      </c>
      <c r="F34" s="4">
        <v>0.5</v>
      </c>
      <c r="G34" s="1">
        <f t="shared" ca="1" si="8"/>
        <v>-0.56230133565957396</v>
      </c>
      <c r="H34" s="1">
        <f t="shared" ca="1" si="6"/>
        <v>0.27581089329964587</v>
      </c>
      <c r="I34" s="2">
        <f t="shared" ca="1" si="7"/>
        <v>0</v>
      </c>
    </row>
    <row r="35" spans="1:9" x14ac:dyDescent="0.35">
      <c r="A35" s="1">
        <v>25</v>
      </c>
      <c r="B35" s="1">
        <f t="shared" si="4"/>
        <v>4.8770575499285984E-2</v>
      </c>
      <c r="C35" s="1">
        <f t="shared" si="5"/>
        <v>-1.6568927965620148</v>
      </c>
      <c r="D35" s="3">
        <v>0.6</v>
      </c>
      <c r="E35" s="1">
        <v>100</v>
      </c>
      <c r="F35" s="4">
        <v>0.5</v>
      </c>
      <c r="G35" s="1">
        <f t="shared" ca="1" si="8"/>
        <v>-0.56230133565957396</v>
      </c>
      <c r="H35" s="1">
        <f t="shared" ca="1" si="6"/>
        <v>0.37777618714553346</v>
      </c>
      <c r="I35" s="2">
        <f t="shared" ca="1" si="7"/>
        <v>0</v>
      </c>
    </row>
    <row r="36" spans="1:9" x14ac:dyDescent="0.35">
      <c r="A36" s="1">
        <v>26</v>
      </c>
      <c r="B36" s="1">
        <f t="shared" si="4"/>
        <v>4.8770575499285984E-2</v>
      </c>
      <c r="C36" s="1">
        <f t="shared" si="5"/>
        <v>-1.6568927965620148</v>
      </c>
      <c r="D36" s="3">
        <v>0.6</v>
      </c>
      <c r="E36" s="1">
        <v>100</v>
      </c>
      <c r="F36" s="4">
        <v>0.5</v>
      </c>
      <c r="G36" s="1">
        <f t="shared" ca="1" si="8"/>
        <v>-0.56230133565957396</v>
      </c>
      <c r="H36" s="1">
        <f t="shared" ca="1" si="6"/>
        <v>-1.2333102378585625</v>
      </c>
      <c r="I36" s="2">
        <f t="shared" ca="1" si="7"/>
        <v>0</v>
      </c>
    </row>
    <row r="37" spans="1:9" x14ac:dyDescent="0.35">
      <c r="A37" s="1">
        <v>27</v>
      </c>
      <c r="B37" s="1">
        <f t="shared" si="4"/>
        <v>4.8770575499285984E-2</v>
      </c>
      <c r="C37" s="1">
        <f t="shared" si="5"/>
        <v>-1.6568927965620148</v>
      </c>
      <c r="D37" s="3">
        <v>0.6</v>
      </c>
      <c r="E37" s="1">
        <v>100</v>
      </c>
      <c r="F37" s="4">
        <v>0.5</v>
      </c>
      <c r="G37" s="1">
        <f t="shared" ca="1" si="8"/>
        <v>-0.56230133565957396</v>
      </c>
      <c r="H37" s="1">
        <f t="shared" ca="1" si="6"/>
        <v>0.36434922256833496</v>
      </c>
      <c r="I37" s="2">
        <f t="shared" ca="1" si="7"/>
        <v>0</v>
      </c>
    </row>
    <row r="38" spans="1:9" x14ac:dyDescent="0.35">
      <c r="A38" s="1">
        <v>28</v>
      </c>
      <c r="B38" s="1">
        <f t="shared" si="4"/>
        <v>4.8770575499285984E-2</v>
      </c>
      <c r="C38" s="1">
        <f t="shared" si="5"/>
        <v>-1.6568927965620148</v>
      </c>
      <c r="D38" s="3">
        <v>0.6</v>
      </c>
      <c r="E38" s="1">
        <v>100</v>
      </c>
      <c r="F38" s="4">
        <v>0.5</v>
      </c>
      <c r="G38" s="1">
        <f t="shared" ca="1" si="8"/>
        <v>-0.56230133565957396</v>
      </c>
      <c r="H38" s="1">
        <f t="shared" ca="1" si="6"/>
        <v>-0.38857902561970836</v>
      </c>
      <c r="I38" s="2">
        <f t="shared" ca="1" si="7"/>
        <v>0</v>
      </c>
    </row>
    <row r="39" spans="1:9" x14ac:dyDescent="0.35">
      <c r="A39" s="1">
        <v>29</v>
      </c>
      <c r="B39" s="1">
        <f t="shared" si="4"/>
        <v>4.8770575499285984E-2</v>
      </c>
      <c r="C39" s="1">
        <f t="shared" si="5"/>
        <v>-1.6568927965620148</v>
      </c>
      <c r="D39" s="3">
        <v>0.6</v>
      </c>
      <c r="E39" s="1">
        <v>100</v>
      </c>
      <c r="F39" s="4">
        <v>0.5</v>
      </c>
      <c r="G39" s="1">
        <f t="shared" ca="1" si="8"/>
        <v>-0.56230133565957396</v>
      </c>
      <c r="H39" s="1">
        <f t="shared" ca="1" si="6"/>
        <v>-0.14029187319618802</v>
      </c>
      <c r="I39" s="2">
        <f t="shared" ca="1" si="7"/>
        <v>0</v>
      </c>
    </row>
    <row r="40" spans="1:9" x14ac:dyDescent="0.35">
      <c r="A40" s="1">
        <v>30</v>
      </c>
      <c r="B40" s="1">
        <f t="shared" si="4"/>
        <v>4.8770575499285984E-2</v>
      </c>
      <c r="C40" s="1">
        <f t="shared" si="5"/>
        <v>-1.6568927965620148</v>
      </c>
      <c r="D40" s="3">
        <v>0.6</v>
      </c>
      <c r="E40" s="1">
        <v>100</v>
      </c>
      <c r="F40" s="4">
        <v>0.5</v>
      </c>
      <c r="G40" s="1">
        <f t="shared" ca="1" si="8"/>
        <v>-0.56230133565957396</v>
      </c>
      <c r="H40" s="1">
        <f t="shared" ca="1" si="6"/>
        <v>0.18454745898345143</v>
      </c>
      <c r="I40" s="2">
        <f t="shared" ca="1" si="7"/>
        <v>0</v>
      </c>
    </row>
    <row r="41" spans="1:9" x14ac:dyDescent="0.35">
      <c r="A41" s="1">
        <v>31</v>
      </c>
      <c r="B41" s="1">
        <f t="shared" si="4"/>
        <v>4.8770575499285984E-2</v>
      </c>
      <c r="C41" s="1">
        <f t="shared" si="5"/>
        <v>-1.6568927965620148</v>
      </c>
      <c r="D41" s="3">
        <v>0.6</v>
      </c>
      <c r="E41" s="1">
        <v>100</v>
      </c>
      <c r="F41" s="4">
        <v>0.5</v>
      </c>
      <c r="G41" s="1">
        <f t="shared" ca="1" si="8"/>
        <v>-0.56230133565957396</v>
      </c>
      <c r="H41" s="1">
        <f t="shared" ca="1" si="6"/>
        <v>-0.62286606724785121</v>
      </c>
      <c r="I41" s="2">
        <f t="shared" ca="1" si="7"/>
        <v>0</v>
      </c>
    </row>
    <row r="42" spans="1:9" x14ac:dyDescent="0.35">
      <c r="A42" s="1">
        <v>32</v>
      </c>
      <c r="B42" s="1">
        <f t="shared" si="4"/>
        <v>4.8770575499285984E-2</v>
      </c>
      <c r="C42" s="1">
        <f t="shared" si="5"/>
        <v>-1.6568927965620148</v>
      </c>
      <c r="D42" s="3">
        <v>0.6</v>
      </c>
      <c r="E42" s="1">
        <v>100</v>
      </c>
      <c r="F42" s="4">
        <v>0.5</v>
      </c>
      <c r="G42" s="1">
        <f t="shared" ca="1" si="8"/>
        <v>-0.56230133565957396</v>
      </c>
      <c r="H42" s="1">
        <f t="shared" ca="1" si="6"/>
        <v>-0.72283921021979358</v>
      </c>
      <c r="I42" s="2">
        <f t="shared" ca="1" si="7"/>
        <v>0</v>
      </c>
    </row>
    <row r="43" spans="1:9" x14ac:dyDescent="0.35">
      <c r="A43" s="1">
        <v>33</v>
      </c>
      <c r="B43" s="1">
        <f t="shared" si="4"/>
        <v>4.8770575499285984E-2</v>
      </c>
      <c r="C43" s="1">
        <f t="shared" si="5"/>
        <v>-1.6568927965620148</v>
      </c>
      <c r="D43" s="3">
        <v>0.6</v>
      </c>
      <c r="E43" s="1">
        <v>100</v>
      </c>
      <c r="F43" s="4">
        <v>0.5</v>
      </c>
      <c r="G43" s="1">
        <f t="shared" ca="1" si="8"/>
        <v>-0.56230133565957396</v>
      </c>
      <c r="H43" s="1">
        <f t="shared" ca="1" si="6"/>
        <v>-1.6434747451194631</v>
      </c>
      <c r="I43" s="2">
        <f t="shared" ca="1" si="7"/>
        <v>0</v>
      </c>
    </row>
    <row r="44" spans="1:9" x14ac:dyDescent="0.35">
      <c r="A44" s="1">
        <v>34</v>
      </c>
      <c r="B44" s="1">
        <f t="shared" si="4"/>
        <v>4.8770575499285984E-2</v>
      </c>
      <c r="C44" s="1">
        <f t="shared" si="5"/>
        <v>-1.6568927965620148</v>
      </c>
      <c r="D44" s="3">
        <v>0.6</v>
      </c>
      <c r="E44" s="1">
        <v>100</v>
      </c>
      <c r="F44" s="4">
        <v>0.5</v>
      </c>
      <c r="G44" s="1">
        <f t="shared" ca="1" si="8"/>
        <v>-0.56230133565957396</v>
      </c>
      <c r="H44" s="1">
        <f t="shared" ca="1" si="6"/>
        <v>-0.17807408125130594</v>
      </c>
      <c r="I44" s="2">
        <f t="shared" ca="1" si="7"/>
        <v>0</v>
      </c>
    </row>
    <row r="45" spans="1:9" x14ac:dyDescent="0.35">
      <c r="A45" s="1">
        <v>35</v>
      </c>
      <c r="B45" s="1">
        <f t="shared" si="4"/>
        <v>4.8770575499285984E-2</v>
      </c>
      <c r="C45" s="1">
        <f t="shared" si="5"/>
        <v>-1.6568927965620148</v>
      </c>
      <c r="D45" s="3">
        <v>0.6</v>
      </c>
      <c r="E45" s="1">
        <v>100</v>
      </c>
      <c r="F45" s="4">
        <v>0.5</v>
      </c>
      <c r="G45" s="1">
        <f t="shared" ca="1" si="8"/>
        <v>-0.56230133565957396</v>
      </c>
      <c r="H45" s="1">
        <f t="shared" ca="1" si="6"/>
        <v>-0.63863450986954962</v>
      </c>
      <c r="I45" s="2">
        <f t="shared" ca="1" si="7"/>
        <v>0</v>
      </c>
    </row>
    <row r="46" spans="1:9" x14ac:dyDescent="0.35">
      <c r="A46" s="1">
        <v>36</v>
      </c>
      <c r="B46" s="1">
        <f t="shared" si="4"/>
        <v>4.8770575499285984E-2</v>
      </c>
      <c r="C46" s="1">
        <f t="shared" si="5"/>
        <v>-1.6568927965620148</v>
      </c>
      <c r="D46" s="3">
        <v>0.6</v>
      </c>
      <c r="E46" s="1">
        <v>100</v>
      </c>
      <c r="F46" s="4">
        <v>0.5</v>
      </c>
      <c r="G46" s="1">
        <f t="shared" ca="1" si="8"/>
        <v>-0.56230133565957396</v>
      </c>
      <c r="H46" s="1">
        <f t="shared" ca="1" si="6"/>
        <v>1.0388589084135629</v>
      </c>
      <c r="I46" s="2">
        <f t="shared" ca="1" si="7"/>
        <v>0</v>
      </c>
    </row>
    <row r="47" spans="1:9" x14ac:dyDescent="0.35">
      <c r="A47" s="1">
        <v>37</v>
      </c>
      <c r="B47" s="1">
        <f t="shared" si="4"/>
        <v>4.8770575499285984E-2</v>
      </c>
      <c r="C47" s="1">
        <f t="shared" si="5"/>
        <v>-1.6568927965620148</v>
      </c>
      <c r="D47" s="3">
        <v>0.6</v>
      </c>
      <c r="E47" s="1">
        <v>100</v>
      </c>
      <c r="F47" s="4">
        <v>0.5</v>
      </c>
      <c r="G47" s="1">
        <f t="shared" ca="1" si="8"/>
        <v>-0.56230133565957396</v>
      </c>
      <c r="H47" s="1">
        <f t="shared" ca="1" si="6"/>
        <v>1.5298990666595775</v>
      </c>
      <c r="I47" s="2">
        <f t="shared" ca="1" si="7"/>
        <v>0</v>
      </c>
    </row>
    <row r="48" spans="1:9" x14ac:dyDescent="0.35">
      <c r="A48" s="1">
        <v>38</v>
      </c>
      <c r="B48" s="1">
        <f t="shared" si="4"/>
        <v>4.8770575499285984E-2</v>
      </c>
      <c r="C48" s="1">
        <f t="shared" si="5"/>
        <v>-1.6568927965620148</v>
      </c>
      <c r="D48" s="3">
        <v>0.6</v>
      </c>
      <c r="E48" s="1">
        <v>100</v>
      </c>
      <c r="F48" s="4">
        <v>0.5</v>
      </c>
      <c r="G48" s="1">
        <f t="shared" ca="1" si="8"/>
        <v>-0.56230133565957396</v>
      </c>
      <c r="H48" s="1">
        <f t="shared" ca="1" si="6"/>
        <v>-0.87434686198536427</v>
      </c>
      <c r="I48" s="2">
        <f t="shared" ca="1" si="7"/>
        <v>0</v>
      </c>
    </row>
    <row r="49" spans="1:9" x14ac:dyDescent="0.35">
      <c r="A49" s="1">
        <v>39</v>
      </c>
      <c r="B49" s="1">
        <f t="shared" si="4"/>
        <v>4.8770575499285984E-2</v>
      </c>
      <c r="C49" s="1">
        <f t="shared" si="5"/>
        <v>-1.6568927965620148</v>
      </c>
      <c r="D49" s="3">
        <v>0.6</v>
      </c>
      <c r="E49" s="1">
        <v>100</v>
      </c>
      <c r="F49" s="4">
        <v>0.5</v>
      </c>
      <c r="G49" s="1">
        <f t="shared" ca="1" si="8"/>
        <v>-0.56230133565957396</v>
      </c>
      <c r="H49" s="1">
        <f t="shared" ca="1" si="6"/>
        <v>-1.9021495423670209</v>
      </c>
      <c r="I49" s="2">
        <f t="shared" ca="1" si="7"/>
        <v>60</v>
      </c>
    </row>
    <row r="50" spans="1:9" x14ac:dyDescent="0.35">
      <c r="A50" s="1">
        <v>40</v>
      </c>
      <c r="B50" s="1">
        <f t="shared" si="4"/>
        <v>4.8770575499285984E-2</v>
      </c>
      <c r="C50" s="1">
        <f t="shared" si="5"/>
        <v>-1.6568927965620148</v>
      </c>
      <c r="D50" s="3">
        <v>0.6</v>
      </c>
      <c r="E50" s="1">
        <v>100</v>
      </c>
      <c r="F50" s="4">
        <v>0.5</v>
      </c>
      <c r="G50" s="1">
        <f t="shared" ca="1" si="8"/>
        <v>-0.56230133565957396</v>
      </c>
      <c r="H50" s="1">
        <f t="shared" ca="1" si="6"/>
        <v>-2.3476651315229962</v>
      </c>
      <c r="I50" s="2">
        <f t="shared" ca="1" si="7"/>
        <v>60</v>
      </c>
    </row>
    <row r="51" spans="1:9" x14ac:dyDescent="0.35">
      <c r="A51" s="1">
        <v>41</v>
      </c>
      <c r="B51" s="1">
        <f t="shared" si="4"/>
        <v>4.8770575499285984E-2</v>
      </c>
      <c r="C51" s="1">
        <f t="shared" si="5"/>
        <v>-1.6568927965620148</v>
      </c>
      <c r="D51" s="3">
        <v>0.6</v>
      </c>
      <c r="E51" s="1">
        <v>100</v>
      </c>
      <c r="F51" s="4">
        <v>0.5</v>
      </c>
      <c r="G51" s="1">
        <f t="shared" ca="1" si="8"/>
        <v>-0.56230133565957396</v>
      </c>
      <c r="H51" s="1">
        <f t="shared" ca="1" si="6"/>
        <v>-0.79920659090950319</v>
      </c>
      <c r="I51" s="2">
        <f t="shared" ca="1" si="7"/>
        <v>0</v>
      </c>
    </row>
    <row r="52" spans="1:9" x14ac:dyDescent="0.35">
      <c r="A52" s="1">
        <v>42</v>
      </c>
      <c r="B52" s="1">
        <f t="shared" si="4"/>
        <v>4.8770575499285984E-2</v>
      </c>
      <c r="C52" s="1">
        <f t="shared" si="5"/>
        <v>-1.6568927965620148</v>
      </c>
      <c r="D52" s="3">
        <v>0.6</v>
      </c>
      <c r="E52" s="1">
        <v>100</v>
      </c>
      <c r="F52" s="4">
        <v>0.5</v>
      </c>
      <c r="G52" s="1">
        <f t="shared" ca="1" si="8"/>
        <v>-0.56230133565957396</v>
      </c>
      <c r="H52" s="1">
        <f t="shared" ca="1" si="6"/>
        <v>-0.27775277125924042</v>
      </c>
      <c r="I52" s="2">
        <f t="shared" ca="1" si="7"/>
        <v>0</v>
      </c>
    </row>
    <row r="53" spans="1:9" x14ac:dyDescent="0.35">
      <c r="A53" s="1">
        <v>43</v>
      </c>
      <c r="B53" s="1">
        <f t="shared" si="4"/>
        <v>4.8770575499285984E-2</v>
      </c>
      <c r="C53" s="1">
        <f t="shared" si="5"/>
        <v>-1.6568927965620148</v>
      </c>
      <c r="D53" s="3">
        <v>0.6</v>
      </c>
      <c r="E53" s="1">
        <v>100</v>
      </c>
      <c r="F53" s="4">
        <v>0.5</v>
      </c>
      <c r="G53" s="1">
        <f t="shared" ca="1" si="8"/>
        <v>-0.56230133565957396</v>
      </c>
      <c r="H53" s="1">
        <f t="shared" ca="1" si="6"/>
        <v>5.4975702813781113E-2</v>
      </c>
      <c r="I53" s="2">
        <f t="shared" ca="1" si="7"/>
        <v>0</v>
      </c>
    </row>
    <row r="54" spans="1:9" x14ac:dyDescent="0.35">
      <c r="A54" s="1">
        <v>44</v>
      </c>
      <c r="B54" s="1">
        <f t="shared" si="4"/>
        <v>4.8770575499285984E-2</v>
      </c>
      <c r="C54" s="1">
        <f t="shared" si="5"/>
        <v>-1.6568927965620148</v>
      </c>
      <c r="D54" s="3">
        <v>0.6</v>
      </c>
      <c r="E54" s="1">
        <v>100</v>
      </c>
      <c r="F54" s="4">
        <v>0.5</v>
      </c>
      <c r="G54" s="1">
        <f t="shared" ca="1" si="8"/>
        <v>-0.56230133565957396</v>
      </c>
      <c r="H54" s="1">
        <f t="shared" ca="1" si="6"/>
        <v>-3.572272509513244E-2</v>
      </c>
      <c r="I54" s="2">
        <f t="shared" ca="1" si="7"/>
        <v>0</v>
      </c>
    </row>
    <row r="55" spans="1:9" x14ac:dyDescent="0.35">
      <c r="A55" s="1">
        <v>45</v>
      </c>
      <c r="B55" s="1">
        <f t="shared" si="4"/>
        <v>4.8770575499285984E-2</v>
      </c>
      <c r="C55" s="1">
        <f t="shared" si="5"/>
        <v>-1.6568927965620148</v>
      </c>
      <c r="D55" s="3">
        <v>0.6</v>
      </c>
      <c r="E55" s="1">
        <v>100</v>
      </c>
      <c r="F55" s="4">
        <v>0.5</v>
      </c>
      <c r="G55" s="1">
        <f t="shared" ca="1" si="8"/>
        <v>-0.56230133565957396</v>
      </c>
      <c r="H55" s="1">
        <f t="shared" ca="1" si="6"/>
        <v>0.51276649071054159</v>
      </c>
      <c r="I55" s="2">
        <f t="shared" ca="1" si="7"/>
        <v>0</v>
      </c>
    </row>
    <row r="56" spans="1:9" x14ac:dyDescent="0.35">
      <c r="A56" s="1">
        <v>46</v>
      </c>
      <c r="B56" s="1">
        <f t="shared" si="4"/>
        <v>4.8770575499285984E-2</v>
      </c>
      <c r="C56" s="1">
        <f t="shared" si="5"/>
        <v>-1.6568927965620148</v>
      </c>
      <c r="D56" s="3">
        <v>0.6</v>
      </c>
      <c r="E56" s="1">
        <v>100</v>
      </c>
      <c r="F56" s="4">
        <v>0.5</v>
      </c>
      <c r="G56" s="1">
        <f t="shared" ca="1" si="8"/>
        <v>-0.56230133565957396</v>
      </c>
      <c r="H56" s="1">
        <f t="shared" ca="1" si="6"/>
        <v>-1.0009437209566616</v>
      </c>
      <c r="I56" s="2">
        <f t="shared" ca="1" si="7"/>
        <v>0</v>
      </c>
    </row>
    <row r="57" spans="1:9" x14ac:dyDescent="0.35">
      <c r="A57" s="1">
        <v>47</v>
      </c>
      <c r="B57" s="1">
        <f t="shared" si="4"/>
        <v>4.8770575499285984E-2</v>
      </c>
      <c r="C57" s="1">
        <f t="shared" si="5"/>
        <v>-1.6568927965620148</v>
      </c>
      <c r="D57" s="3">
        <v>0.6</v>
      </c>
      <c r="E57" s="1">
        <v>100</v>
      </c>
      <c r="F57" s="4">
        <v>0.5</v>
      </c>
      <c r="G57" s="1">
        <f t="shared" ca="1" si="8"/>
        <v>-0.56230133565957396</v>
      </c>
      <c r="H57" s="1">
        <f t="shared" ca="1" si="6"/>
        <v>-0.11633195739894256</v>
      </c>
      <c r="I57" s="2">
        <f t="shared" ca="1" si="7"/>
        <v>0</v>
      </c>
    </row>
    <row r="58" spans="1:9" x14ac:dyDescent="0.35">
      <c r="A58" s="1">
        <v>48</v>
      </c>
      <c r="B58" s="1">
        <f t="shared" si="4"/>
        <v>4.8770575499285984E-2</v>
      </c>
      <c r="C58" s="1">
        <f t="shared" si="5"/>
        <v>-1.6568927965620148</v>
      </c>
      <c r="D58" s="3">
        <v>0.6</v>
      </c>
      <c r="E58" s="1">
        <v>100</v>
      </c>
      <c r="F58" s="4">
        <v>0.5</v>
      </c>
      <c r="G58" s="1">
        <f t="shared" ca="1" si="8"/>
        <v>-0.56230133565957396</v>
      </c>
      <c r="H58" s="1">
        <f t="shared" ca="1" si="6"/>
        <v>-0.92717115044440024</v>
      </c>
      <c r="I58" s="2">
        <f t="shared" ca="1" si="7"/>
        <v>0</v>
      </c>
    </row>
    <row r="59" spans="1:9" x14ac:dyDescent="0.35">
      <c r="A59" s="1">
        <v>49</v>
      </c>
      <c r="B59" s="1">
        <f t="shared" si="4"/>
        <v>4.8770575499285984E-2</v>
      </c>
      <c r="C59" s="1">
        <f t="shared" si="5"/>
        <v>-1.6568927965620148</v>
      </c>
      <c r="D59" s="3">
        <v>0.6</v>
      </c>
      <c r="E59" s="1">
        <v>100</v>
      </c>
      <c r="F59" s="4">
        <v>0.5</v>
      </c>
      <c r="G59" s="1">
        <f t="shared" ca="1" si="8"/>
        <v>-0.56230133565957396</v>
      </c>
      <c r="H59" s="1">
        <f t="shared" ca="1" si="6"/>
        <v>-0.24021885434304285</v>
      </c>
      <c r="I59" s="2">
        <f t="shared" ca="1" si="7"/>
        <v>0</v>
      </c>
    </row>
    <row r="60" spans="1:9" x14ac:dyDescent="0.35">
      <c r="A60" s="1">
        <v>50</v>
      </c>
      <c r="B60" s="1">
        <f t="shared" si="4"/>
        <v>4.8770575499285984E-2</v>
      </c>
      <c r="C60" s="1">
        <f t="shared" si="5"/>
        <v>-1.6568927965620148</v>
      </c>
      <c r="D60" s="3">
        <v>0.6</v>
      </c>
      <c r="E60" s="1">
        <v>100</v>
      </c>
      <c r="F60" s="4">
        <v>0.5</v>
      </c>
      <c r="G60" s="1">
        <f t="shared" ca="1" si="8"/>
        <v>-0.56230133565957396</v>
      </c>
      <c r="H60" s="1">
        <f t="shared" ca="1" si="6"/>
        <v>0.59824926644976117</v>
      </c>
      <c r="I60" s="2">
        <f t="shared" ca="1" si="7"/>
        <v>0</v>
      </c>
    </row>
    <row r="61" spans="1:9" x14ac:dyDescent="0.35">
      <c r="A61" s="1">
        <v>51</v>
      </c>
      <c r="B61" s="1">
        <f t="shared" si="4"/>
        <v>4.8770575499285984E-2</v>
      </c>
      <c r="C61" s="1">
        <f t="shared" si="5"/>
        <v>-1.6568927965620148</v>
      </c>
      <c r="D61" s="3">
        <v>0.6</v>
      </c>
      <c r="E61" s="1">
        <v>100</v>
      </c>
      <c r="F61" s="4">
        <v>0.5</v>
      </c>
      <c r="G61" s="1">
        <f t="shared" ca="1" si="8"/>
        <v>-0.56230133565957396</v>
      </c>
      <c r="H61" s="1">
        <f t="shared" ca="1" si="6"/>
        <v>-1.0412212999253685</v>
      </c>
      <c r="I61" s="2">
        <f t="shared" ca="1" si="7"/>
        <v>0</v>
      </c>
    </row>
    <row r="62" spans="1:9" x14ac:dyDescent="0.35">
      <c r="A62" s="1">
        <v>52</v>
      </c>
      <c r="B62" s="1">
        <f t="shared" si="4"/>
        <v>4.8770575499285984E-2</v>
      </c>
      <c r="C62" s="1">
        <f t="shared" si="5"/>
        <v>-1.6568927965620148</v>
      </c>
      <c r="D62" s="3">
        <v>0.6</v>
      </c>
      <c r="E62" s="1">
        <v>100</v>
      </c>
      <c r="F62" s="4">
        <v>0.5</v>
      </c>
      <c r="G62" s="1">
        <f t="shared" ca="1" si="8"/>
        <v>-0.56230133565957396</v>
      </c>
      <c r="H62" s="1">
        <f t="shared" ca="1" si="6"/>
        <v>-0.19102750502434607</v>
      </c>
      <c r="I62" s="2">
        <f t="shared" ca="1" si="7"/>
        <v>0</v>
      </c>
    </row>
    <row r="63" spans="1:9" x14ac:dyDescent="0.35">
      <c r="A63" s="1">
        <v>53</v>
      </c>
      <c r="B63" s="1">
        <f t="shared" si="4"/>
        <v>4.8770575499285984E-2</v>
      </c>
      <c r="C63" s="1">
        <f t="shared" si="5"/>
        <v>-1.6568927965620148</v>
      </c>
      <c r="D63" s="3">
        <v>0.6</v>
      </c>
      <c r="E63" s="1">
        <v>100</v>
      </c>
      <c r="F63" s="4">
        <v>0.5</v>
      </c>
      <c r="G63" s="1">
        <f t="shared" ca="1" si="8"/>
        <v>-0.56230133565957396</v>
      </c>
      <c r="H63" s="1">
        <f t="shared" ca="1" si="6"/>
        <v>0.93350474658414062</v>
      </c>
      <c r="I63" s="2">
        <f t="shared" ca="1" si="7"/>
        <v>0</v>
      </c>
    </row>
    <row r="64" spans="1:9" x14ac:dyDescent="0.35">
      <c r="A64" s="1">
        <v>54</v>
      </c>
      <c r="B64" s="1">
        <f t="shared" si="4"/>
        <v>4.8770575499285984E-2</v>
      </c>
      <c r="C64" s="1">
        <f t="shared" si="5"/>
        <v>-1.6568927965620148</v>
      </c>
      <c r="D64" s="3">
        <v>0.6</v>
      </c>
      <c r="E64" s="1">
        <v>100</v>
      </c>
      <c r="F64" s="4">
        <v>0.5</v>
      </c>
      <c r="G64" s="1">
        <f t="shared" ca="1" si="8"/>
        <v>-0.56230133565957396</v>
      </c>
      <c r="H64" s="1">
        <f t="shared" ca="1" si="6"/>
        <v>-0.81520536012331957</v>
      </c>
      <c r="I64" s="2">
        <f t="shared" ca="1" si="7"/>
        <v>0</v>
      </c>
    </row>
    <row r="65" spans="1:9" x14ac:dyDescent="0.35">
      <c r="A65" s="1">
        <v>55</v>
      </c>
      <c r="B65" s="1">
        <f t="shared" si="4"/>
        <v>4.8770575499285984E-2</v>
      </c>
      <c r="C65" s="1">
        <f t="shared" si="5"/>
        <v>-1.6568927965620148</v>
      </c>
      <c r="D65" s="3">
        <v>0.6</v>
      </c>
      <c r="E65" s="1">
        <v>100</v>
      </c>
      <c r="F65" s="4">
        <v>0.5</v>
      </c>
      <c r="G65" s="1">
        <f t="shared" ca="1" si="8"/>
        <v>-0.56230133565957396</v>
      </c>
      <c r="H65" s="1">
        <f t="shared" ca="1" si="6"/>
        <v>7.5144164567239491E-2</v>
      </c>
      <c r="I65" s="2">
        <f t="shared" ca="1" si="7"/>
        <v>0</v>
      </c>
    </row>
    <row r="66" spans="1:9" x14ac:dyDescent="0.35">
      <c r="A66" s="1">
        <v>56</v>
      </c>
      <c r="B66" s="1">
        <f t="shared" si="4"/>
        <v>4.8770575499285984E-2</v>
      </c>
      <c r="C66" s="1">
        <f t="shared" si="5"/>
        <v>-1.6568927965620148</v>
      </c>
      <c r="D66" s="3">
        <v>0.6</v>
      </c>
      <c r="E66" s="1">
        <v>100</v>
      </c>
      <c r="F66" s="4">
        <v>0.5</v>
      </c>
      <c r="G66" s="1">
        <f t="shared" ca="1" si="8"/>
        <v>-0.56230133565957396</v>
      </c>
      <c r="H66" s="1">
        <f t="shared" ca="1" si="6"/>
        <v>-0.77637201489731655</v>
      </c>
      <c r="I66" s="2">
        <f t="shared" ca="1" si="7"/>
        <v>0</v>
      </c>
    </row>
    <row r="67" spans="1:9" x14ac:dyDescent="0.35">
      <c r="A67" s="1">
        <v>57</v>
      </c>
      <c r="B67" s="1">
        <f t="shared" si="4"/>
        <v>4.8770575499285984E-2</v>
      </c>
      <c r="C67" s="1">
        <f t="shared" si="5"/>
        <v>-1.6568927965620148</v>
      </c>
      <c r="D67" s="3">
        <v>0.6</v>
      </c>
      <c r="E67" s="1">
        <v>100</v>
      </c>
      <c r="F67" s="4">
        <v>0.5</v>
      </c>
      <c r="G67" s="1">
        <f t="shared" ca="1" si="8"/>
        <v>-0.56230133565957396</v>
      </c>
      <c r="H67" s="1">
        <f t="shared" ca="1" si="6"/>
        <v>-1.4494130494627806</v>
      </c>
      <c r="I67" s="2">
        <f t="shared" ca="1" si="7"/>
        <v>0</v>
      </c>
    </row>
    <row r="68" spans="1:9" x14ac:dyDescent="0.35">
      <c r="A68" s="1">
        <v>58</v>
      </c>
      <c r="B68" s="1">
        <f t="shared" si="4"/>
        <v>4.8770575499285984E-2</v>
      </c>
      <c r="C68" s="1">
        <f t="shared" si="5"/>
        <v>-1.6568927965620148</v>
      </c>
      <c r="D68" s="3">
        <v>0.6</v>
      </c>
      <c r="E68" s="1">
        <v>100</v>
      </c>
      <c r="F68" s="4">
        <v>0.5</v>
      </c>
      <c r="G68" s="1">
        <f t="shared" ca="1" si="8"/>
        <v>-0.56230133565957396</v>
      </c>
      <c r="H68" s="1">
        <f t="shared" ca="1" si="6"/>
        <v>-0.20134257347600582</v>
      </c>
      <c r="I68" s="2">
        <f t="shared" ca="1" si="7"/>
        <v>0</v>
      </c>
    </row>
    <row r="69" spans="1:9" x14ac:dyDescent="0.35">
      <c r="A69" s="1">
        <v>59</v>
      </c>
      <c r="B69" s="1">
        <f t="shared" si="4"/>
        <v>4.8770575499285984E-2</v>
      </c>
      <c r="C69" s="1">
        <f t="shared" si="5"/>
        <v>-1.6568927965620148</v>
      </c>
      <c r="D69" s="3">
        <v>0.6</v>
      </c>
      <c r="E69" s="1">
        <v>100</v>
      </c>
      <c r="F69" s="4">
        <v>0.5</v>
      </c>
      <c r="G69" s="1">
        <f t="shared" ca="1" si="8"/>
        <v>-0.56230133565957396</v>
      </c>
      <c r="H69" s="1">
        <f t="shared" ca="1" si="6"/>
        <v>0.26028047138681226</v>
      </c>
      <c r="I69" s="2">
        <f t="shared" ca="1" si="7"/>
        <v>0</v>
      </c>
    </row>
    <row r="70" spans="1:9" x14ac:dyDescent="0.35">
      <c r="A70" s="1">
        <v>60</v>
      </c>
      <c r="B70" s="1">
        <f t="shared" si="4"/>
        <v>4.8770575499285984E-2</v>
      </c>
      <c r="C70" s="1">
        <f t="shared" si="5"/>
        <v>-1.6568927965620148</v>
      </c>
      <c r="D70" s="3">
        <v>0.6</v>
      </c>
      <c r="E70" s="1">
        <v>100</v>
      </c>
      <c r="F70" s="4">
        <v>0.5</v>
      </c>
      <c r="G70" s="1">
        <f t="shared" ca="1" si="8"/>
        <v>-0.56230133565957396</v>
      </c>
      <c r="H70" s="1">
        <f t="shared" ca="1" si="6"/>
        <v>-1.1642303655534711</v>
      </c>
      <c r="I70" s="2">
        <f t="shared" ca="1" si="7"/>
        <v>0</v>
      </c>
    </row>
    <row r="71" spans="1:9" x14ac:dyDescent="0.35">
      <c r="A71" s="1">
        <v>61</v>
      </c>
      <c r="B71" s="1">
        <f t="shared" si="4"/>
        <v>4.8770575499285984E-2</v>
      </c>
      <c r="C71" s="1">
        <f t="shared" si="5"/>
        <v>-1.6568927965620148</v>
      </c>
      <c r="D71" s="3">
        <v>0.6</v>
      </c>
      <c r="E71" s="1">
        <v>100</v>
      </c>
      <c r="F71" s="4">
        <v>0.5</v>
      </c>
      <c r="G71" s="1">
        <f t="shared" ca="1" si="8"/>
        <v>-0.56230133565957396</v>
      </c>
      <c r="H71" s="1">
        <f t="shared" ca="1" si="6"/>
        <v>0.49992711688916486</v>
      </c>
      <c r="I71" s="2">
        <f t="shared" ca="1" si="7"/>
        <v>0</v>
      </c>
    </row>
    <row r="72" spans="1:9" x14ac:dyDescent="0.35">
      <c r="A72" s="1">
        <v>62</v>
      </c>
      <c r="B72" s="1">
        <f t="shared" si="4"/>
        <v>4.8770575499285984E-2</v>
      </c>
      <c r="C72" s="1">
        <f t="shared" si="5"/>
        <v>-1.6568927965620148</v>
      </c>
      <c r="D72" s="3">
        <v>0.6</v>
      </c>
      <c r="E72" s="1">
        <v>100</v>
      </c>
      <c r="F72" s="4">
        <v>0.5</v>
      </c>
      <c r="G72" s="1">
        <f t="shared" ca="1" si="8"/>
        <v>-0.56230133565957396</v>
      </c>
      <c r="H72" s="1">
        <f t="shared" ca="1" si="6"/>
        <v>-0.49071121116757416</v>
      </c>
      <c r="I72" s="2">
        <f t="shared" ca="1" si="7"/>
        <v>0</v>
      </c>
    </row>
    <row r="73" spans="1:9" x14ac:dyDescent="0.35">
      <c r="A73" s="1">
        <v>63</v>
      </c>
      <c r="B73" s="1">
        <f t="shared" si="4"/>
        <v>4.8770575499285984E-2</v>
      </c>
      <c r="C73" s="1">
        <f t="shared" si="5"/>
        <v>-1.6568927965620148</v>
      </c>
      <c r="D73" s="3">
        <v>0.6</v>
      </c>
      <c r="E73" s="1">
        <v>100</v>
      </c>
      <c r="F73" s="4">
        <v>0.5</v>
      </c>
      <c r="G73" s="1">
        <f t="shared" ca="1" si="8"/>
        <v>-0.56230133565957396</v>
      </c>
      <c r="H73" s="1">
        <f t="shared" ca="1" si="6"/>
        <v>-0.8540051143791465</v>
      </c>
      <c r="I73" s="2">
        <f t="shared" ca="1" si="7"/>
        <v>0</v>
      </c>
    </row>
    <row r="74" spans="1:9" x14ac:dyDescent="0.35">
      <c r="A74" s="1">
        <v>64</v>
      </c>
      <c r="B74" s="1">
        <f t="shared" si="4"/>
        <v>4.8770575499285984E-2</v>
      </c>
      <c r="C74" s="1">
        <f t="shared" si="5"/>
        <v>-1.6568927965620148</v>
      </c>
      <c r="D74" s="3">
        <v>0.6</v>
      </c>
      <c r="E74" s="1">
        <v>100</v>
      </c>
      <c r="F74" s="4">
        <v>0.5</v>
      </c>
      <c r="G74" s="1">
        <f t="shared" ca="1" si="8"/>
        <v>-0.56230133565957396</v>
      </c>
      <c r="H74" s="1">
        <f t="shared" ca="1" si="6"/>
        <v>-1.2287083511568382</v>
      </c>
      <c r="I74" s="2">
        <f t="shared" ca="1" si="7"/>
        <v>0</v>
      </c>
    </row>
    <row r="75" spans="1:9" x14ac:dyDescent="0.35">
      <c r="A75" s="1">
        <v>65</v>
      </c>
      <c r="B75" s="1">
        <f t="shared" si="4"/>
        <v>4.8770575499285984E-2</v>
      </c>
      <c r="C75" s="1">
        <f t="shared" si="5"/>
        <v>-1.6568927965620148</v>
      </c>
      <c r="D75" s="3">
        <v>0.6</v>
      </c>
      <c r="E75" s="1">
        <v>100</v>
      </c>
      <c r="F75" s="4">
        <v>0.5</v>
      </c>
      <c r="G75" s="1">
        <f t="shared" ca="1" si="8"/>
        <v>-0.56230133565957396</v>
      </c>
      <c r="H75" s="1">
        <f t="shared" ca="1" si="6"/>
        <v>-1.247737197932751</v>
      </c>
      <c r="I75" s="2">
        <f t="shared" ca="1" si="7"/>
        <v>0</v>
      </c>
    </row>
    <row r="76" spans="1:9" x14ac:dyDescent="0.35">
      <c r="A76" s="1">
        <v>66</v>
      </c>
      <c r="B76" s="1">
        <f t="shared" ref="B76:B110" si="9">1-EXP(-5%)</f>
        <v>4.8770575499285984E-2</v>
      </c>
      <c r="C76" s="1">
        <f t="shared" ref="C76:C110" si="10">NORMSINV(B76)</f>
        <v>-1.6568927965620148</v>
      </c>
      <c r="D76" s="3">
        <v>0.6</v>
      </c>
      <c r="E76" s="1">
        <v>100</v>
      </c>
      <c r="F76" s="4">
        <v>0.5</v>
      </c>
      <c r="G76" s="1">
        <f t="shared" ca="1" si="8"/>
        <v>-0.56230133565957396</v>
      </c>
      <c r="H76" s="1">
        <f t="shared" ref="H76:H110" ca="1" si="11">F76*G76+SQRT(1-F76^2)*NORMSINV(RAND())</f>
        <v>-1.8914914621217436</v>
      </c>
      <c r="I76" s="2">
        <f t="shared" ref="I76:I110" ca="1" si="12">IF(H76&lt;C76,1,0)*D76*E76</f>
        <v>60</v>
      </c>
    </row>
    <row r="77" spans="1:9" x14ac:dyDescent="0.35">
      <c r="A77" s="1">
        <v>67</v>
      </c>
      <c r="B77" s="1">
        <f t="shared" si="9"/>
        <v>4.8770575499285984E-2</v>
      </c>
      <c r="C77" s="1">
        <f t="shared" si="10"/>
        <v>-1.6568927965620148</v>
      </c>
      <c r="D77" s="3">
        <v>0.6</v>
      </c>
      <c r="E77" s="1">
        <v>100</v>
      </c>
      <c r="F77" s="4">
        <v>0.5</v>
      </c>
      <c r="G77" s="1">
        <f t="shared" ref="G77:G110" ca="1" si="13">G76</f>
        <v>-0.56230133565957396</v>
      </c>
      <c r="H77" s="1">
        <f t="shared" ca="1" si="11"/>
        <v>0.8663721930543764</v>
      </c>
      <c r="I77" s="2">
        <f t="shared" ca="1" si="12"/>
        <v>0</v>
      </c>
    </row>
    <row r="78" spans="1:9" x14ac:dyDescent="0.35">
      <c r="A78" s="1">
        <v>68</v>
      </c>
      <c r="B78" s="1">
        <f t="shared" si="9"/>
        <v>4.8770575499285984E-2</v>
      </c>
      <c r="C78" s="1">
        <f t="shared" si="10"/>
        <v>-1.6568927965620148</v>
      </c>
      <c r="D78" s="3">
        <v>0.6</v>
      </c>
      <c r="E78" s="1">
        <v>100</v>
      </c>
      <c r="F78" s="4">
        <v>0.5</v>
      </c>
      <c r="G78" s="1">
        <f t="shared" ca="1" si="13"/>
        <v>-0.56230133565957396</v>
      </c>
      <c r="H78" s="1">
        <f t="shared" ca="1" si="11"/>
        <v>0.86823396782031681</v>
      </c>
      <c r="I78" s="2">
        <f t="shared" ca="1" si="12"/>
        <v>0</v>
      </c>
    </row>
    <row r="79" spans="1:9" x14ac:dyDescent="0.35">
      <c r="A79" s="1">
        <v>69</v>
      </c>
      <c r="B79" s="1">
        <f t="shared" si="9"/>
        <v>4.8770575499285984E-2</v>
      </c>
      <c r="C79" s="1">
        <f t="shared" si="10"/>
        <v>-1.6568927965620148</v>
      </c>
      <c r="D79" s="3">
        <v>0.6</v>
      </c>
      <c r="E79" s="1">
        <v>100</v>
      </c>
      <c r="F79" s="4">
        <v>0.5</v>
      </c>
      <c r="G79" s="1">
        <f t="shared" ca="1" si="13"/>
        <v>-0.56230133565957396</v>
      </c>
      <c r="H79" s="1">
        <f t="shared" ca="1" si="11"/>
        <v>-0.17547038933256059</v>
      </c>
      <c r="I79" s="2">
        <f t="shared" ca="1" si="12"/>
        <v>0</v>
      </c>
    </row>
    <row r="80" spans="1:9" x14ac:dyDescent="0.35">
      <c r="A80" s="1">
        <v>70</v>
      </c>
      <c r="B80" s="1">
        <f t="shared" si="9"/>
        <v>4.8770575499285984E-2</v>
      </c>
      <c r="C80" s="1">
        <f t="shared" si="10"/>
        <v>-1.6568927965620148</v>
      </c>
      <c r="D80" s="3">
        <v>0.6</v>
      </c>
      <c r="E80" s="1">
        <v>100</v>
      </c>
      <c r="F80" s="4">
        <v>0.5</v>
      </c>
      <c r="G80" s="1">
        <f t="shared" ca="1" si="13"/>
        <v>-0.56230133565957396</v>
      </c>
      <c r="H80" s="1">
        <f t="shared" ca="1" si="11"/>
        <v>-1.3680503606659882</v>
      </c>
      <c r="I80" s="2">
        <f t="shared" ca="1" si="12"/>
        <v>0</v>
      </c>
    </row>
    <row r="81" spans="1:9" x14ac:dyDescent="0.35">
      <c r="A81" s="1">
        <v>71</v>
      </c>
      <c r="B81" s="1">
        <f t="shared" si="9"/>
        <v>4.8770575499285984E-2</v>
      </c>
      <c r="C81" s="1">
        <f t="shared" si="10"/>
        <v>-1.6568927965620148</v>
      </c>
      <c r="D81" s="3">
        <v>0.6</v>
      </c>
      <c r="E81" s="1">
        <v>100</v>
      </c>
      <c r="F81" s="4">
        <v>0.5</v>
      </c>
      <c r="G81" s="1">
        <f t="shared" ca="1" si="13"/>
        <v>-0.56230133565957396</v>
      </c>
      <c r="H81" s="1">
        <f t="shared" ca="1" si="11"/>
        <v>1.3246446948541082</v>
      </c>
      <c r="I81" s="2">
        <f t="shared" ca="1" si="12"/>
        <v>0</v>
      </c>
    </row>
    <row r="82" spans="1:9" x14ac:dyDescent="0.35">
      <c r="A82" s="1">
        <v>72</v>
      </c>
      <c r="B82" s="1">
        <f t="shared" si="9"/>
        <v>4.8770575499285984E-2</v>
      </c>
      <c r="C82" s="1">
        <f t="shared" si="10"/>
        <v>-1.6568927965620148</v>
      </c>
      <c r="D82" s="3">
        <v>0.6</v>
      </c>
      <c r="E82" s="1">
        <v>100</v>
      </c>
      <c r="F82" s="4">
        <v>0.5</v>
      </c>
      <c r="G82" s="1">
        <f t="shared" ca="1" si="13"/>
        <v>-0.56230133565957396</v>
      </c>
      <c r="H82" s="1">
        <f t="shared" ca="1" si="11"/>
        <v>1.0861568424957333</v>
      </c>
      <c r="I82" s="2">
        <f t="shared" ca="1" si="12"/>
        <v>0</v>
      </c>
    </row>
    <row r="83" spans="1:9" x14ac:dyDescent="0.35">
      <c r="A83" s="1">
        <v>73</v>
      </c>
      <c r="B83" s="1">
        <f t="shared" si="9"/>
        <v>4.8770575499285984E-2</v>
      </c>
      <c r="C83" s="1">
        <f t="shared" si="10"/>
        <v>-1.6568927965620148</v>
      </c>
      <c r="D83" s="3">
        <v>0.6</v>
      </c>
      <c r="E83" s="1">
        <v>100</v>
      </c>
      <c r="F83" s="4">
        <v>0.5</v>
      </c>
      <c r="G83" s="1">
        <f t="shared" ca="1" si="13"/>
        <v>-0.56230133565957396</v>
      </c>
      <c r="H83" s="1">
        <f t="shared" ca="1" si="11"/>
        <v>-0.58621118031327513</v>
      </c>
      <c r="I83" s="2">
        <f t="shared" ca="1" si="12"/>
        <v>0</v>
      </c>
    </row>
    <row r="84" spans="1:9" x14ac:dyDescent="0.35">
      <c r="A84" s="1">
        <v>74</v>
      </c>
      <c r="B84" s="1">
        <f t="shared" si="9"/>
        <v>4.8770575499285984E-2</v>
      </c>
      <c r="C84" s="1">
        <f t="shared" si="10"/>
        <v>-1.6568927965620148</v>
      </c>
      <c r="D84" s="3">
        <v>0.6</v>
      </c>
      <c r="E84" s="1">
        <v>100</v>
      </c>
      <c r="F84" s="4">
        <v>0.5</v>
      </c>
      <c r="G84" s="1">
        <f t="shared" ca="1" si="13"/>
        <v>-0.56230133565957396</v>
      </c>
      <c r="H84" s="1">
        <f t="shared" ca="1" si="11"/>
        <v>-1.3818880135757714</v>
      </c>
      <c r="I84" s="2">
        <f t="shared" ca="1" si="12"/>
        <v>0</v>
      </c>
    </row>
    <row r="85" spans="1:9" x14ac:dyDescent="0.35">
      <c r="A85" s="1">
        <v>75</v>
      </c>
      <c r="B85" s="1">
        <f t="shared" si="9"/>
        <v>4.8770575499285984E-2</v>
      </c>
      <c r="C85" s="1">
        <f t="shared" si="10"/>
        <v>-1.6568927965620148</v>
      </c>
      <c r="D85" s="3">
        <v>0.6</v>
      </c>
      <c r="E85" s="1">
        <v>100</v>
      </c>
      <c r="F85" s="4">
        <v>0.5</v>
      </c>
      <c r="G85" s="1">
        <f t="shared" ca="1" si="13"/>
        <v>-0.56230133565957396</v>
      </c>
      <c r="H85" s="1">
        <f t="shared" ca="1" si="11"/>
        <v>-0.83774875914392877</v>
      </c>
      <c r="I85" s="2">
        <f t="shared" ca="1" si="12"/>
        <v>0</v>
      </c>
    </row>
    <row r="86" spans="1:9" x14ac:dyDescent="0.35">
      <c r="A86" s="1">
        <v>76</v>
      </c>
      <c r="B86" s="1">
        <f t="shared" si="9"/>
        <v>4.8770575499285984E-2</v>
      </c>
      <c r="C86" s="1">
        <f t="shared" si="10"/>
        <v>-1.6568927965620148</v>
      </c>
      <c r="D86" s="3">
        <v>0.6</v>
      </c>
      <c r="E86" s="1">
        <v>100</v>
      </c>
      <c r="F86" s="4">
        <v>0.5</v>
      </c>
      <c r="G86" s="1">
        <f t="shared" ca="1" si="13"/>
        <v>-0.56230133565957396</v>
      </c>
      <c r="H86" s="1">
        <f t="shared" ca="1" si="11"/>
        <v>-1.3186253190317305</v>
      </c>
      <c r="I86" s="2">
        <f t="shared" ca="1" si="12"/>
        <v>0</v>
      </c>
    </row>
    <row r="87" spans="1:9" x14ac:dyDescent="0.35">
      <c r="A87" s="1">
        <v>77</v>
      </c>
      <c r="B87" s="1">
        <f t="shared" si="9"/>
        <v>4.8770575499285984E-2</v>
      </c>
      <c r="C87" s="1">
        <f t="shared" si="10"/>
        <v>-1.6568927965620148</v>
      </c>
      <c r="D87" s="3">
        <v>0.6</v>
      </c>
      <c r="E87" s="1">
        <v>100</v>
      </c>
      <c r="F87" s="4">
        <v>0.5</v>
      </c>
      <c r="G87" s="1">
        <f t="shared" ca="1" si="13"/>
        <v>-0.56230133565957396</v>
      </c>
      <c r="H87" s="1">
        <f t="shared" ca="1" si="11"/>
        <v>0.59501040144986206</v>
      </c>
      <c r="I87" s="2">
        <f t="shared" ca="1" si="12"/>
        <v>0</v>
      </c>
    </row>
    <row r="88" spans="1:9" x14ac:dyDescent="0.35">
      <c r="A88" s="1">
        <v>78</v>
      </c>
      <c r="B88" s="1">
        <f t="shared" si="9"/>
        <v>4.8770575499285984E-2</v>
      </c>
      <c r="C88" s="1">
        <f t="shared" si="10"/>
        <v>-1.6568927965620148</v>
      </c>
      <c r="D88" s="3">
        <v>0.6</v>
      </c>
      <c r="E88" s="1">
        <v>100</v>
      </c>
      <c r="F88" s="4">
        <v>0.5</v>
      </c>
      <c r="G88" s="1">
        <f t="shared" ca="1" si="13"/>
        <v>-0.56230133565957396</v>
      </c>
      <c r="H88" s="1">
        <f t="shared" ca="1" si="11"/>
        <v>2.0449033432692887E-3</v>
      </c>
      <c r="I88" s="2">
        <f t="shared" ca="1" si="12"/>
        <v>0</v>
      </c>
    </row>
    <row r="89" spans="1:9" x14ac:dyDescent="0.35">
      <c r="A89" s="1">
        <v>79</v>
      </c>
      <c r="B89" s="1">
        <f t="shared" si="9"/>
        <v>4.8770575499285984E-2</v>
      </c>
      <c r="C89" s="1">
        <f t="shared" si="10"/>
        <v>-1.6568927965620148</v>
      </c>
      <c r="D89" s="3">
        <v>0.6</v>
      </c>
      <c r="E89" s="1">
        <v>100</v>
      </c>
      <c r="F89" s="4">
        <v>0.5</v>
      </c>
      <c r="G89" s="1">
        <f t="shared" ca="1" si="13"/>
        <v>-0.56230133565957396</v>
      </c>
      <c r="H89" s="1">
        <f t="shared" ca="1" si="11"/>
        <v>-5.4117860600608303E-2</v>
      </c>
      <c r="I89" s="2">
        <f t="shared" ca="1" si="12"/>
        <v>0</v>
      </c>
    </row>
    <row r="90" spans="1:9" x14ac:dyDescent="0.35">
      <c r="A90" s="1">
        <v>80</v>
      </c>
      <c r="B90" s="1">
        <f t="shared" si="9"/>
        <v>4.8770575499285984E-2</v>
      </c>
      <c r="C90" s="1">
        <f t="shared" si="10"/>
        <v>-1.6568927965620148</v>
      </c>
      <c r="D90" s="3">
        <v>0.6</v>
      </c>
      <c r="E90" s="1">
        <v>100</v>
      </c>
      <c r="F90" s="4">
        <v>0.5</v>
      </c>
      <c r="G90" s="1">
        <f t="shared" ca="1" si="13"/>
        <v>-0.56230133565957396</v>
      </c>
      <c r="H90" s="1">
        <f t="shared" ca="1" si="11"/>
        <v>-0.11484719089687412</v>
      </c>
      <c r="I90" s="2">
        <f t="shared" ca="1" si="12"/>
        <v>0</v>
      </c>
    </row>
    <row r="91" spans="1:9" x14ac:dyDescent="0.35">
      <c r="A91" s="1">
        <v>81</v>
      </c>
      <c r="B91" s="1">
        <f t="shared" si="9"/>
        <v>4.8770575499285984E-2</v>
      </c>
      <c r="C91" s="1">
        <f t="shared" si="10"/>
        <v>-1.6568927965620148</v>
      </c>
      <c r="D91" s="3">
        <v>0.6</v>
      </c>
      <c r="E91" s="1">
        <v>100</v>
      </c>
      <c r="F91" s="4">
        <v>0.5</v>
      </c>
      <c r="G91" s="1">
        <f t="shared" ca="1" si="13"/>
        <v>-0.56230133565957396</v>
      </c>
      <c r="H91" s="1">
        <f t="shared" ca="1" si="11"/>
        <v>0.30270463076342097</v>
      </c>
      <c r="I91" s="2">
        <f t="shared" ca="1" si="12"/>
        <v>0</v>
      </c>
    </row>
    <row r="92" spans="1:9" x14ac:dyDescent="0.35">
      <c r="A92" s="1">
        <v>82</v>
      </c>
      <c r="B92" s="1">
        <f t="shared" si="9"/>
        <v>4.8770575499285984E-2</v>
      </c>
      <c r="C92" s="1">
        <f t="shared" si="10"/>
        <v>-1.6568927965620148</v>
      </c>
      <c r="D92" s="3">
        <v>0.6</v>
      </c>
      <c r="E92" s="1">
        <v>100</v>
      </c>
      <c r="F92" s="4">
        <v>0.5</v>
      </c>
      <c r="G92" s="1">
        <f t="shared" ca="1" si="13"/>
        <v>-0.56230133565957396</v>
      </c>
      <c r="H92" s="1">
        <f t="shared" ca="1" si="11"/>
        <v>-0.72624389558605829</v>
      </c>
      <c r="I92" s="2">
        <f t="shared" ca="1" si="12"/>
        <v>0</v>
      </c>
    </row>
    <row r="93" spans="1:9" x14ac:dyDescent="0.35">
      <c r="A93" s="1">
        <v>83</v>
      </c>
      <c r="B93" s="1">
        <f t="shared" si="9"/>
        <v>4.8770575499285984E-2</v>
      </c>
      <c r="C93" s="1">
        <f t="shared" si="10"/>
        <v>-1.6568927965620148</v>
      </c>
      <c r="D93" s="3">
        <v>0.6</v>
      </c>
      <c r="E93" s="1">
        <v>100</v>
      </c>
      <c r="F93" s="4">
        <v>0.5</v>
      </c>
      <c r="G93" s="1">
        <f t="shared" ca="1" si="13"/>
        <v>-0.56230133565957396</v>
      </c>
      <c r="H93" s="1">
        <f t="shared" ca="1" si="11"/>
        <v>-0.44159104587019171</v>
      </c>
      <c r="I93" s="2">
        <f t="shared" ca="1" si="12"/>
        <v>0</v>
      </c>
    </row>
    <row r="94" spans="1:9" x14ac:dyDescent="0.35">
      <c r="A94" s="1">
        <v>84</v>
      </c>
      <c r="B94" s="1">
        <f t="shared" si="9"/>
        <v>4.8770575499285984E-2</v>
      </c>
      <c r="C94" s="1">
        <f t="shared" si="10"/>
        <v>-1.6568927965620148</v>
      </c>
      <c r="D94" s="3">
        <v>0.6</v>
      </c>
      <c r="E94" s="1">
        <v>100</v>
      </c>
      <c r="F94" s="4">
        <v>0.5</v>
      </c>
      <c r="G94" s="1">
        <f t="shared" ca="1" si="13"/>
        <v>-0.56230133565957396</v>
      </c>
      <c r="H94" s="1">
        <f t="shared" ca="1" si="11"/>
        <v>-0.57630715002588451</v>
      </c>
      <c r="I94" s="2">
        <f t="shared" ca="1" si="12"/>
        <v>0</v>
      </c>
    </row>
    <row r="95" spans="1:9" x14ac:dyDescent="0.35">
      <c r="A95" s="1">
        <v>85</v>
      </c>
      <c r="B95" s="1">
        <f t="shared" si="9"/>
        <v>4.8770575499285984E-2</v>
      </c>
      <c r="C95" s="1">
        <f t="shared" si="10"/>
        <v>-1.6568927965620148</v>
      </c>
      <c r="D95" s="3">
        <v>0.6</v>
      </c>
      <c r="E95" s="1">
        <v>100</v>
      </c>
      <c r="F95" s="4">
        <v>0.5</v>
      </c>
      <c r="G95" s="1">
        <f t="shared" ca="1" si="13"/>
        <v>-0.56230133565957396</v>
      </c>
      <c r="H95" s="1">
        <f t="shared" ca="1" si="11"/>
        <v>3.3573510353977876E-2</v>
      </c>
      <c r="I95" s="2">
        <f t="shared" ca="1" si="12"/>
        <v>0</v>
      </c>
    </row>
    <row r="96" spans="1:9" x14ac:dyDescent="0.35">
      <c r="A96" s="1">
        <v>86</v>
      </c>
      <c r="B96" s="1">
        <f t="shared" si="9"/>
        <v>4.8770575499285984E-2</v>
      </c>
      <c r="C96" s="1">
        <f t="shared" si="10"/>
        <v>-1.6568927965620148</v>
      </c>
      <c r="D96" s="3">
        <v>0.6</v>
      </c>
      <c r="E96" s="1">
        <v>100</v>
      </c>
      <c r="F96" s="4">
        <v>0.5</v>
      </c>
      <c r="G96" s="1">
        <f t="shared" ca="1" si="13"/>
        <v>-0.56230133565957396</v>
      </c>
      <c r="H96" s="1">
        <f t="shared" ca="1" si="11"/>
        <v>-0.15465549507412504</v>
      </c>
      <c r="I96" s="2">
        <f t="shared" ca="1" si="12"/>
        <v>0</v>
      </c>
    </row>
    <row r="97" spans="1:9" x14ac:dyDescent="0.35">
      <c r="A97" s="1">
        <v>87</v>
      </c>
      <c r="B97" s="1">
        <f t="shared" si="9"/>
        <v>4.8770575499285984E-2</v>
      </c>
      <c r="C97" s="1">
        <f t="shared" si="10"/>
        <v>-1.6568927965620148</v>
      </c>
      <c r="D97" s="3">
        <v>0.6</v>
      </c>
      <c r="E97" s="1">
        <v>100</v>
      </c>
      <c r="F97" s="4">
        <v>0.5</v>
      </c>
      <c r="G97" s="1">
        <f t="shared" ca="1" si="13"/>
        <v>-0.56230133565957396</v>
      </c>
      <c r="H97" s="1">
        <f t="shared" ca="1" si="11"/>
        <v>0.17433631564879687</v>
      </c>
      <c r="I97" s="2">
        <f t="shared" ca="1" si="12"/>
        <v>0</v>
      </c>
    </row>
    <row r="98" spans="1:9" x14ac:dyDescent="0.35">
      <c r="A98" s="1">
        <v>88</v>
      </c>
      <c r="B98" s="1">
        <f t="shared" si="9"/>
        <v>4.8770575499285984E-2</v>
      </c>
      <c r="C98" s="1">
        <f t="shared" si="10"/>
        <v>-1.6568927965620148</v>
      </c>
      <c r="D98" s="3">
        <v>0.6</v>
      </c>
      <c r="E98" s="1">
        <v>100</v>
      </c>
      <c r="F98" s="4">
        <v>0.5</v>
      </c>
      <c r="G98" s="1">
        <f t="shared" ca="1" si="13"/>
        <v>-0.56230133565957396</v>
      </c>
      <c r="H98" s="1">
        <f t="shared" ca="1" si="11"/>
        <v>-1.827564346497816</v>
      </c>
      <c r="I98" s="2">
        <f t="shared" ca="1" si="12"/>
        <v>60</v>
      </c>
    </row>
    <row r="99" spans="1:9" x14ac:dyDescent="0.35">
      <c r="A99" s="1">
        <v>89</v>
      </c>
      <c r="B99" s="1">
        <f t="shared" si="9"/>
        <v>4.8770575499285984E-2</v>
      </c>
      <c r="C99" s="1">
        <f t="shared" si="10"/>
        <v>-1.6568927965620148</v>
      </c>
      <c r="D99" s="3">
        <v>0.6</v>
      </c>
      <c r="E99" s="1">
        <v>100</v>
      </c>
      <c r="F99" s="4">
        <v>0.5</v>
      </c>
      <c r="G99" s="1">
        <f t="shared" ca="1" si="13"/>
        <v>-0.56230133565957396</v>
      </c>
      <c r="H99" s="1">
        <f t="shared" ca="1" si="11"/>
        <v>3.1124276576984689E-2</v>
      </c>
      <c r="I99" s="2">
        <f t="shared" ca="1" si="12"/>
        <v>0</v>
      </c>
    </row>
    <row r="100" spans="1:9" x14ac:dyDescent="0.35">
      <c r="A100" s="1">
        <v>90</v>
      </c>
      <c r="B100" s="1">
        <f t="shared" si="9"/>
        <v>4.8770575499285984E-2</v>
      </c>
      <c r="C100" s="1">
        <f t="shared" si="10"/>
        <v>-1.6568927965620148</v>
      </c>
      <c r="D100" s="3">
        <v>0.6</v>
      </c>
      <c r="E100" s="1">
        <v>100</v>
      </c>
      <c r="F100" s="4">
        <v>0.5</v>
      </c>
      <c r="G100" s="1">
        <f t="shared" ca="1" si="13"/>
        <v>-0.56230133565957396</v>
      </c>
      <c r="H100" s="1">
        <f t="shared" ca="1" si="11"/>
        <v>-1.0867903048459342</v>
      </c>
      <c r="I100" s="2">
        <f t="shared" ca="1" si="12"/>
        <v>0</v>
      </c>
    </row>
    <row r="101" spans="1:9" x14ac:dyDescent="0.35">
      <c r="A101" s="1">
        <v>91</v>
      </c>
      <c r="B101" s="1">
        <f t="shared" si="9"/>
        <v>4.8770575499285984E-2</v>
      </c>
      <c r="C101" s="1">
        <f t="shared" si="10"/>
        <v>-1.6568927965620148</v>
      </c>
      <c r="D101" s="3">
        <v>0.6</v>
      </c>
      <c r="E101" s="1">
        <v>100</v>
      </c>
      <c r="F101" s="4">
        <v>0.5</v>
      </c>
      <c r="G101" s="1">
        <f t="shared" ca="1" si="13"/>
        <v>-0.56230133565957396</v>
      </c>
      <c r="H101" s="1">
        <f t="shared" ca="1" si="11"/>
        <v>-0.5301287046632297</v>
      </c>
      <c r="I101" s="2">
        <f t="shared" ca="1" si="12"/>
        <v>0</v>
      </c>
    </row>
    <row r="102" spans="1:9" x14ac:dyDescent="0.35">
      <c r="A102" s="1">
        <v>92</v>
      </c>
      <c r="B102" s="1">
        <f t="shared" si="9"/>
        <v>4.8770575499285984E-2</v>
      </c>
      <c r="C102" s="1">
        <f t="shared" si="10"/>
        <v>-1.6568927965620148</v>
      </c>
      <c r="D102" s="3">
        <v>0.6</v>
      </c>
      <c r="E102" s="1">
        <v>100</v>
      </c>
      <c r="F102" s="4">
        <v>0.5</v>
      </c>
      <c r="G102" s="1">
        <f t="shared" ca="1" si="13"/>
        <v>-0.56230133565957396</v>
      </c>
      <c r="H102" s="1">
        <f t="shared" ca="1" si="11"/>
        <v>-1.8975498841703173</v>
      </c>
      <c r="I102" s="2">
        <f t="shared" ca="1" si="12"/>
        <v>60</v>
      </c>
    </row>
    <row r="103" spans="1:9" x14ac:dyDescent="0.35">
      <c r="A103" s="1">
        <v>93</v>
      </c>
      <c r="B103" s="1">
        <f t="shared" si="9"/>
        <v>4.8770575499285984E-2</v>
      </c>
      <c r="C103" s="1">
        <f t="shared" si="10"/>
        <v>-1.6568927965620148</v>
      </c>
      <c r="D103" s="3">
        <v>0.6</v>
      </c>
      <c r="E103" s="1">
        <v>100</v>
      </c>
      <c r="F103" s="4">
        <v>0.5</v>
      </c>
      <c r="G103" s="1">
        <f t="shared" ca="1" si="13"/>
        <v>-0.56230133565957396</v>
      </c>
      <c r="H103" s="1">
        <f t="shared" ca="1" si="11"/>
        <v>-0.95527605743643629</v>
      </c>
      <c r="I103" s="2">
        <f t="shared" ca="1" si="12"/>
        <v>0</v>
      </c>
    </row>
    <row r="104" spans="1:9" x14ac:dyDescent="0.35">
      <c r="A104" s="1">
        <v>94</v>
      </c>
      <c r="B104" s="1">
        <f t="shared" si="9"/>
        <v>4.8770575499285984E-2</v>
      </c>
      <c r="C104" s="1">
        <f t="shared" si="10"/>
        <v>-1.6568927965620148</v>
      </c>
      <c r="D104" s="3">
        <v>0.6</v>
      </c>
      <c r="E104" s="1">
        <v>100</v>
      </c>
      <c r="F104" s="4">
        <v>0.5</v>
      </c>
      <c r="G104" s="1">
        <f t="shared" ca="1" si="13"/>
        <v>-0.56230133565957396</v>
      </c>
      <c r="H104" s="1">
        <f t="shared" ca="1" si="11"/>
        <v>-0.90445866644776851</v>
      </c>
      <c r="I104" s="2">
        <f t="shared" ca="1" si="12"/>
        <v>0</v>
      </c>
    </row>
    <row r="105" spans="1:9" x14ac:dyDescent="0.35">
      <c r="A105" s="1">
        <v>95</v>
      </c>
      <c r="B105" s="1">
        <f t="shared" si="9"/>
        <v>4.8770575499285984E-2</v>
      </c>
      <c r="C105" s="1">
        <f t="shared" si="10"/>
        <v>-1.6568927965620148</v>
      </c>
      <c r="D105" s="3">
        <v>0.6</v>
      </c>
      <c r="E105" s="1">
        <v>100</v>
      </c>
      <c r="F105" s="4">
        <v>0.5</v>
      </c>
      <c r="G105" s="1">
        <f t="shared" ca="1" si="13"/>
        <v>-0.56230133565957396</v>
      </c>
      <c r="H105" s="1">
        <f t="shared" ca="1" si="11"/>
        <v>-1.0980712469570755</v>
      </c>
      <c r="I105" s="2">
        <f t="shared" ca="1" si="12"/>
        <v>0</v>
      </c>
    </row>
    <row r="106" spans="1:9" x14ac:dyDescent="0.35">
      <c r="A106" s="1">
        <v>96</v>
      </c>
      <c r="B106" s="1">
        <f t="shared" si="9"/>
        <v>4.8770575499285984E-2</v>
      </c>
      <c r="C106" s="1">
        <f t="shared" si="10"/>
        <v>-1.6568927965620148</v>
      </c>
      <c r="D106" s="3">
        <v>0.6</v>
      </c>
      <c r="E106" s="1">
        <v>100</v>
      </c>
      <c r="F106" s="4">
        <v>0.5</v>
      </c>
      <c r="G106" s="1">
        <f t="shared" ca="1" si="13"/>
        <v>-0.56230133565957396</v>
      </c>
      <c r="H106" s="1">
        <f t="shared" ca="1" si="11"/>
        <v>-1.1308482932210828</v>
      </c>
      <c r="I106" s="2">
        <f t="shared" ca="1" si="12"/>
        <v>0</v>
      </c>
    </row>
    <row r="107" spans="1:9" x14ac:dyDescent="0.35">
      <c r="A107" s="1">
        <v>97</v>
      </c>
      <c r="B107" s="1">
        <f t="shared" si="9"/>
        <v>4.8770575499285984E-2</v>
      </c>
      <c r="C107" s="1">
        <f t="shared" si="10"/>
        <v>-1.6568927965620148</v>
      </c>
      <c r="D107" s="3">
        <v>0.6</v>
      </c>
      <c r="E107" s="1">
        <v>100</v>
      </c>
      <c r="F107" s="4">
        <v>0.5</v>
      </c>
      <c r="G107" s="1">
        <f t="shared" ca="1" si="13"/>
        <v>-0.56230133565957396</v>
      </c>
      <c r="H107" s="1">
        <f t="shared" ca="1" si="11"/>
        <v>0.92204314201279214</v>
      </c>
      <c r="I107" s="2">
        <f t="shared" ca="1" si="12"/>
        <v>0</v>
      </c>
    </row>
    <row r="108" spans="1:9" x14ac:dyDescent="0.35">
      <c r="A108" s="1">
        <v>98</v>
      </c>
      <c r="B108" s="1">
        <f t="shared" si="9"/>
        <v>4.8770575499285984E-2</v>
      </c>
      <c r="C108" s="1">
        <f t="shared" si="10"/>
        <v>-1.6568927965620148</v>
      </c>
      <c r="D108" s="3">
        <v>0.6</v>
      </c>
      <c r="E108" s="1">
        <v>100</v>
      </c>
      <c r="F108" s="4">
        <v>0.5</v>
      </c>
      <c r="G108" s="1">
        <f t="shared" ca="1" si="13"/>
        <v>-0.56230133565957396</v>
      </c>
      <c r="H108" s="1">
        <f t="shared" ca="1" si="11"/>
        <v>-1.0113082892027467</v>
      </c>
      <c r="I108" s="2">
        <f t="shared" ca="1" si="12"/>
        <v>0</v>
      </c>
    </row>
    <row r="109" spans="1:9" x14ac:dyDescent="0.35">
      <c r="A109" s="1">
        <v>99</v>
      </c>
      <c r="B109" s="1">
        <f t="shared" si="9"/>
        <v>4.8770575499285984E-2</v>
      </c>
      <c r="C109" s="1">
        <f t="shared" si="10"/>
        <v>-1.6568927965620148</v>
      </c>
      <c r="D109" s="3">
        <v>0.6</v>
      </c>
      <c r="E109" s="1">
        <v>100</v>
      </c>
      <c r="F109" s="4">
        <v>0.5</v>
      </c>
      <c r="G109" s="1">
        <f t="shared" ca="1" si="13"/>
        <v>-0.56230133565957396</v>
      </c>
      <c r="H109" s="1">
        <f t="shared" ca="1" si="11"/>
        <v>0.24847608739111832</v>
      </c>
      <c r="I109" s="2">
        <f t="shared" ca="1" si="12"/>
        <v>0</v>
      </c>
    </row>
    <row r="110" spans="1:9" x14ac:dyDescent="0.35">
      <c r="A110" s="1">
        <v>100</v>
      </c>
      <c r="B110" s="1">
        <f t="shared" si="9"/>
        <v>4.8770575499285984E-2</v>
      </c>
      <c r="C110" s="1">
        <f t="shared" si="10"/>
        <v>-1.6568927965620148</v>
      </c>
      <c r="D110" s="3">
        <v>0.6</v>
      </c>
      <c r="E110" s="1">
        <v>100</v>
      </c>
      <c r="F110" s="4">
        <v>0.5</v>
      </c>
      <c r="G110" s="1">
        <f t="shared" ca="1" si="13"/>
        <v>-0.56230133565957396</v>
      </c>
      <c r="H110" s="1">
        <f t="shared" ca="1" si="11"/>
        <v>0.98277372682381525</v>
      </c>
      <c r="I110" s="2">
        <f t="shared" ca="1" si="1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69850</xdr:colOff>
                    <xdr:row>8</xdr:row>
                    <xdr:rowOff>95250</xdr:rowOff>
                  </from>
                  <to>
                    <xdr:col>16</xdr:col>
                    <xdr:colOff>171450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MEPSTEIN</cp:lastModifiedBy>
  <dcterms:created xsi:type="dcterms:W3CDTF">2016-06-17T19:36:55Z</dcterms:created>
  <dcterms:modified xsi:type="dcterms:W3CDTF">2016-11-27T07:15:17Z</dcterms:modified>
</cp:coreProperties>
</file>