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diamond\Desktop\"/>
    </mc:Choice>
  </mc:AlternateContent>
  <bookViews>
    <workbookView xWindow="-15" yWindow="-15" windowWidth="18390" windowHeight="11955" activeTab="1"/>
  </bookViews>
  <sheets>
    <sheet name="Delta Hedging" sheetId="7" r:id="rId1"/>
    <sheet name="Hedging P&amp;L" sheetId="9" r:id="rId2"/>
    <sheet name="Uncertain Vol." sheetId="1" state="hidden" r:id="rId3"/>
    <sheet name="UVM Binary" sheetId="6" state="hidden" r:id="rId4"/>
  </sheets>
  <functionGroups builtInGroupCount="18"/>
  <definedNames>
    <definedName name="D_0">'Hedging P&amp;L'!$D$11</definedName>
    <definedName name="dt">'Hedging P&amp;L'!$B$6</definedName>
    <definedName name="E">'Hedging P&amp;L'!$B$3</definedName>
    <definedName name="int">'Hedging P&amp;L'!$B$2</definedName>
    <definedName name="S_0">'Hedging P&amp;L'!$B$11</definedName>
    <definedName name="T">'Hedging P&amp;L'!$B$4</definedName>
    <definedName name="V_0">'Hedging P&amp;L'!$C$11</definedName>
    <definedName name="Va">'Hedging P&amp;L'!$E$1</definedName>
    <definedName name="Vi">'Hedging P&amp;L'!$E$2</definedName>
  </definedNames>
  <calcPr calcId="152511"/>
</workbook>
</file>

<file path=xl/calcChain.xml><?xml version="1.0" encoding="utf-8"?>
<calcChain xmlns="http://schemas.openxmlformats.org/spreadsheetml/2006/main">
  <c r="B11" i="7" l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C110" i="7" s="1"/>
  <c r="B12" i="9"/>
  <c r="B13" i="9" s="1"/>
  <c r="B14" i="9" s="1"/>
  <c r="B15" i="9" s="1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71" i="9" s="1"/>
  <c r="B72" i="9" s="1"/>
  <c r="B73" i="9" s="1"/>
  <c r="B74" i="9" s="1"/>
  <c r="B75" i="9" s="1"/>
  <c r="B76" i="9" s="1"/>
  <c r="B77" i="9" s="1"/>
  <c r="B78" i="9" s="1"/>
  <c r="B79" i="9" s="1"/>
  <c r="B80" i="9" s="1"/>
  <c r="B81" i="9" s="1"/>
  <c r="B82" i="9" s="1"/>
  <c r="B83" i="9" s="1"/>
  <c r="B84" i="9" s="1"/>
  <c r="B85" i="9" s="1"/>
  <c r="B86" i="9" s="1"/>
  <c r="B87" i="9" s="1"/>
  <c r="B88" i="9" s="1"/>
  <c r="B89" i="9" s="1"/>
  <c r="B90" i="9" s="1"/>
  <c r="B91" i="9" s="1"/>
  <c r="B92" i="9" s="1"/>
  <c r="B93" i="9" s="1"/>
  <c r="B94" i="9" s="1"/>
  <c r="B95" i="9" s="1"/>
  <c r="B96" i="9" s="1"/>
  <c r="B97" i="9" s="1"/>
  <c r="B98" i="9" s="1"/>
  <c r="B99" i="9" s="1"/>
  <c r="B100" i="9" s="1"/>
  <c r="B101" i="9" s="1"/>
  <c r="B102" i="9" s="1"/>
  <c r="B103" i="9" s="1"/>
  <c r="B104" i="9" s="1"/>
  <c r="B105" i="9" s="1"/>
  <c r="B106" i="9" s="1"/>
  <c r="B107" i="9" s="1"/>
  <c r="B108" i="9" s="1"/>
  <c r="B109" i="9" s="1"/>
  <c r="B110" i="9" s="1"/>
  <c r="B111" i="9" s="1"/>
  <c r="L29" i="7"/>
  <c r="O42" i="7"/>
  <c r="L95" i="7"/>
  <c r="M105" i="7"/>
  <c r="O66" i="7"/>
  <c r="O108" i="7"/>
  <c r="N101" i="7"/>
  <c r="L72" i="7"/>
  <c r="L12" i="7"/>
  <c r="M92" i="7"/>
  <c r="N91" i="7"/>
  <c r="O15" i="7"/>
  <c r="O101" i="7"/>
  <c r="O78" i="7"/>
  <c r="L71" i="7"/>
  <c r="L36" i="7"/>
  <c r="L53" i="7"/>
  <c r="O62" i="7"/>
  <c r="L11" i="7"/>
  <c r="L77" i="7"/>
  <c r="O59" i="7"/>
  <c r="M86" i="7"/>
  <c r="L20" i="7"/>
  <c r="O17" i="7"/>
  <c r="N64" i="7"/>
  <c r="M15" i="7"/>
  <c r="L39" i="7"/>
  <c r="N45" i="7"/>
  <c r="N70" i="7"/>
  <c r="M43" i="7"/>
  <c r="M57" i="7"/>
  <c r="O57" i="7"/>
  <c r="L15" i="7"/>
  <c r="L43" i="7"/>
  <c r="M60" i="7"/>
  <c r="M37" i="7"/>
  <c r="M55" i="7"/>
  <c r="O43" i="7"/>
  <c r="L52" i="7"/>
  <c r="N42" i="7"/>
  <c r="M73" i="7"/>
  <c r="N96" i="7"/>
  <c r="O21" i="7"/>
  <c r="M33" i="7"/>
  <c r="M108" i="7"/>
  <c r="L96" i="7"/>
  <c r="L107" i="7"/>
  <c r="O89" i="7"/>
  <c r="L104" i="7"/>
  <c r="N46" i="7"/>
  <c r="N84" i="7"/>
  <c r="M35" i="7"/>
  <c r="N79" i="7"/>
  <c r="L64" i="7"/>
  <c r="N92" i="7"/>
  <c r="M52" i="7"/>
  <c r="M42" i="7"/>
  <c r="N62" i="7"/>
  <c r="M20" i="7"/>
  <c r="O96" i="7"/>
  <c r="M88" i="7"/>
  <c r="N108" i="7"/>
  <c r="L32" i="7"/>
  <c r="F3" i="7"/>
  <c r="N22" i="7"/>
  <c r="M36" i="7"/>
  <c r="L27" i="7"/>
  <c r="O31" i="7"/>
  <c r="M16" i="7"/>
  <c r="N20" i="7"/>
  <c r="N37" i="7"/>
  <c r="L55" i="7"/>
  <c r="N104" i="7"/>
  <c r="N75" i="7"/>
  <c r="O70" i="7"/>
  <c r="N15" i="7"/>
  <c r="M53" i="7"/>
  <c r="L49" i="7"/>
  <c r="N107" i="7"/>
  <c r="N105" i="7"/>
  <c r="M25" i="7"/>
  <c r="M14" i="7"/>
  <c r="M63" i="7"/>
  <c r="L25" i="7"/>
  <c r="N49" i="7"/>
  <c r="L83" i="7"/>
  <c r="L99" i="7"/>
  <c r="O86" i="7"/>
  <c r="O84" i="7"/>
  <c r="L59" i="7"/>
  <c r="L57" i="7"/>
  <c r="M83" i="7"/>
  <c r="L60" i="7"/>
  <c r="N28" i="7"/>
  <c r="L16" i="7"/>
  <c r="O55" i="7"/>
  <c r="N56" i="7"/>
  <c r="L65" i="7"/>
  <c r="N35" i="7"/>
  <c r="O46" i="7"/>
  <c r="L93" i="7"/>
  <c r="M109" i="7"/>
  <c r="O75" i="7"/>
  <c r="L42" i="7"/>
  <c r="M93" i="7"/>
  <c r="O53" i="7"/>
  <c r="L82" i="7"/>
  <c r="N25" i="7"/>
  <c r="O73" i="7"/>
  <c r="N26" i="7"/>
  <c r="N39" i="7"/>
  <c r="O56" i="7"/>
  <c r="O72" i="7"/>
  <c r="M21" i="7"/>
  <c r="O93" i="7"/>
  <c r="N60" i="7"/>
  <c r="M94" i="7"/>
  <c r="M85" i="7"/>
  <c r="O67" i="7"/>
  <c r="O45" i="7"/>
  <c r="N34" i="7"/>
  <c r="L51" i="7"/>
  <c r="M72" i="7"/>
  <c r="O109" i="7"/>
  <c r="M67" i="7"/>
  <c r="H2" i="9"/>
  <c r="O76" i="7"/>
  <c r="D11" i="9"/>
  <c r="L87" i="7"/>
  <c r="N85" i="7"/>
  <c r="L75" i="7"/>
  <c r="O38" i="7"/>
  <c r="O61" i="7"/>
  <c r="L37" i="7"/>
  <c r="O63" i="7"/>
  <c r="N76" i="7"/>
  <c r="M17" i="7"/>
  <c r="M26" i="7"/>
  <c r="N68" i="7"/>
  <c r="O98" i="7"/>
  <c r="L18" i="7"/>
  <c r="M18" i="7"/>
  <c r="L90" i="7"/>
  <c r="M39" i="7"/>
  <c r="M64" i="7"/>
  <c r="L56" i="7"/>
  <c r="N65" i="7"/>
  <c r="M31" i="7"/>
  <c r="O60" i="7"/>
  <c r="L76" i="7"/>
  <c r="N78" i="7"/>
  <c r="L66" i="7"/>
  <c r="M65" i="7"/>
  <c r="M76" i="7"/>
  <c r="L17" i="7"/>
  <c r="N87" i="7"/>
  <c r="O82" i="7"/>
  <c r="L84" i="7"/>
  <c r="O102" i="7"/>
  <c r="M95" i="7"/>
  <c r="O28" i="7"/>
  <c r="N33" i="7"/>
  <c r="O88" i="7"/>
  <c r="M44" i="7"/>
  <c r="O87" i="7"/>
  <c r="O24" i="7"/>
  <c r="L26" i="7"/>
  <c r="N27" i="7"/>
  <c r="N67" i="7"/>
  <c r="L92" i="7"/>
  <c r="H1" i="9"/>
  <c r="L70" i="7"/>
  <c r="L63" i="7"/>
  <c r="L34" i="7"/>
  <c r="N44" i="7"/>
  <c r="N30" i="7"/>
  <c r="O104" i="7"/>
  <c r="O50" i="7"/>
  <c r="L68" i="7"/>
  <c r="N71" i="7"/>
  <c r="O26" i="7"/>
  <c r="M41" i="7"/>
  <c r="L24" i="7"/>
  <c r="N17" i="7"/>
  <c r="L48" i="7"/>
  <c r="N81" i="7"/>
  <c r="N29" i="7"/>
  <c r="O32" i="7"/>
  <c r="O77" i="7"/>
  <c r="O95" i="7"/>
  <c r="M24" i="7"/>
  <c r="N47" i="7"/>
  <c r="N11" i="7"/>
  <c r="N59" i="7"/>
  <c r="M74" i="7"/>
  <c r="O25" i="7"/>
  <c r="N36" i="7"/>
  <c r="O30" i="7"/>
  <c r="N97" i="7"/>
  <c r="L35" i="7"/>
  <c r="L105" i="7"/>
  <c r="N10" i="7"/>
  <c r="M27" i="7"/>
  <c r="L40" i="7"/>
  <c r="N32" i="7"/>
  <c r="L23" i="7"/>
  <c r="O18" i="7"/>
  <c r="O29" i="7"/>
  <c r="M70" i="7"/>
  <c r="L28" i="7"/>
  <c r="O40" i="7"/>
  <c r="L62" i="7"/>
  <c r="L74" i="7"/>
  <c r="L46" i="7"/>
  <c r="O16" i="7"/>
  <c r="N77" i="7"/>
  <c r="M49" i="7"/>
  <c r="L88" i="7"/>
  <c r="N51" i="7"/>
  <c r="O106" i="7"/>
  <c r="L108" i="7"/>
  <c r="L13" i="7"/>
  <c r="M30" i="7"/>
  <c r="L100" i="7"/>
  <c r="N63" i="7"/>
  <c r="M29" i="7"/>
  <c r="O23" i="7"/>
  <c r="M28" i="7"/>
  <c r="O35" i="7"/>
  <c r="M40" i="7"/>
  <c r="N53" i="7"/>
  <c r="M13" i="7"/>
  <c r="M82" i="7"/>
  <c r="O103" i="7"/>
  <c r="O52" i="7"/>
  <c r="N52" i="7"/>
  <c r="M96" i="7"/>
  <c r="M22" i="7"/>
  <c r="M12" i="7"/>
  <c r="M89" i="7"/>
  <c r="O11" i="7"/>
  <c r="O54" i="7"/>
  <c r="C10" i="7"/>
  <c r="O99" i="7"/>
  <c r="N66" i="7"/>
  <c r="O79" i="7"/>
  <c r="O85" i="7"/>
  <c r="M103" i="7"/>
  <c r="M48" i="7"/>
  <c r="N80" i="7"/>
  <c r="M99" i="7"/>
  <c r="M90" i="7"/>
  <c r="N12" i="7"/>
  <c r="O64" i="7"/>
  <c r="O22" i="7"/>
  <c r="M77" i="7"/>
  <c r="M66" i="7"/>
  <c r="L30" i="7"/>
  <c r="N24" i="7"/>
  <c r="N103" i="7"/>
  <c r="M32" i="7"/>
  <c r="M11" i="7"/>
  <c r="O80" i="7"/>
  <c r="O12" i="7"/>
  <c r="N73" i="7"/>
  <c r="M78" i="7"/>
  <c r="M51" i="7"/>
  <c r="L79" i="7"/>
  <c r="L102" i="7"/>
  <c r="M87" i="7"/>
  <c r="N61" i="7"/>
  <c r="N82" i="7"/>
  <c r="L21" i="7"/>
  <c r="M102" i="7"/>
  <c r="O44" i="7"/>
  <c r="N86" i="7"/>
  <c r="O81" i="7"/>
  <c r="L44" i="7"/>
  <c r="M79" i="7"/>
  <c r="N19" i="7"/>
  <c r="N21" i="7"/>
  <c r="M47" i="7"/>
  <c r="M58" i="7"/>
  <c r="N83" i="7"/>
  <c r="N50" i="7"/>
  <c r="O58" i="7"/>
  <c r="L50" i="7"/>
  <c r="L54" i="7"/>
  <c r="N102" i="7"/>
  <c r="N88" i="7"/>
  <c r="M100" i="7"/>
  <c r="O39" i="7"/>
  <c r="M106" i="7"/>
  <c r="N57" i="7"/>
  <c r="N31" i="7"/>
  <c r="L89" i="7"/>
  <c r="L31" i="7"/>
  <c r="L19" i="7"/>
  <c r="M80" i="7"/>
  <c r="M69" i="7"/>
  <c r="O41" i="7"/>
  <c r="L101" i="7"/>
  <c r="L38" i="7"/>
  <c r="O91" i="7"/>
  <c r="N40" i="7"/>
  <c r="O94" i="7"/>
  <c r="L81" i="7"/>
  <c r="M54" i="7"/>
  <c r="O33" i="7"/>
  <c r="O74" i="7"/>
  <c r="O49" i="7"/>
  <c r="O65" i="7"/>
  <c r="M23" i="7"/>
  <c r="M10" i="7"/>
  <c r="N54" i="7"/>
  <c r="O83" i="7"/>
  <c r="L80" i="7"/>
  <c r="M56" i="7"/>
  <c r="L14" i="7"/>
  <c r="M45" i="7"/>
  <c r="O48" i="7"/>
  <c r="O10" i="7"/>
  <c r="O69" i="7"/>
  <c r="N109" i="7"/>
  <c r="O37" i="7"/>
  <c r="M34" i="7"/>
  <c r="N16" i="7"/>
  <c r="O36" i="7"/>
  <c r="O27" i="7"/>
  <c r="L73" i="7"/>
  <c r="O90" i="7"/>
  <c r="N94" i="7"/>
  <c r="L106" i="7"/>
  <c r="M19" i="7"/>
  <c r="M101" i="7"/>
  <c r="N38" i="7"/>
  <c r="N69" i="7"/>
  <c r="O97" i="7"/>
  <c r="L91" i="7"/>
  <c r="L78" i="7"/>
  <c r="N18" i="7"/>
  <c r="M62" i="7"/>
  <c r="O71" i="7"/>
  <c r="L67" i="7"/>
  <c r="M97" i="7"/>
  <c r="O92" i="7"/>
  <c r="N93" i="7"/>
  <c r="N98" i="7"/>
  <c r="L58" i="7"/>
  <c r="M107" i="7"/>
  <c r="M50" i="7"/>
  <c r="L10" i="7"/>
  <c r="O105" i="7"/>
  <c r="L98" i="7"/>
  <c r="N58" i="7"/>
  <c r="N74" i="7"/>
  <c r="L47" i="7"/>
  <c r="L94" i="7"/>
  <c r="N95" i="7"/>
  <c r="N106" i="7"/>
  <c r="N48" i="7"/>
  <c r="M38" i="7"/>
  <c r="O68" i="7"/>
  <c r="N13" i="7"/>
  <c r="C11" i="9"/>
  <c r="L61" i="7"/>
  <c r="M46" i="7"/>
  <c r="M81" i="7"/>
  <c r="L22" i="7"/>
  <c r="O34" i="7"/>
  <c r="M104" i="7"/>
  <c r="N89" i="7"/>
  <c r="M68" i="7"/>
  <c r="M75" i="7"/>
  <c r="O100" i="7"/>
  <c r="O107" i="7"/>
  <c r="M71" i="7"/>
  <c r="K2" i="1" a="1"/>
  <c r="N99" i="7"/>
  <c r="M84" i="7"/>
  <c r="L103" i="7"/>
  <c r="L41" i="7"/>
  <c r="O20" i="7"/>
  <c r="N23" i="7"/>
  <c r="M61" i="7"/>
  <c r="L86" i="7"/>
  <c r="O47" i="7"/>
  <c r="N41" i="7"/>
  <c r="L97" i="7"/>
  <c r="N55" i="7"/>
  <c r="O13" i="7"/>
  <c r="O51" i="7"/>
  <c r="L109" i="7"/>
  <c r="N14" i="7"/>
  <c r="L85" i="7"/>
  <c r="L69" i="7"/>
  <c r="N43" i="7"/>
  <c r="N100" i="7"/>
  <c r="O19" i="7"/>
  <c r="N72" i="7"/>
  <c r="M59" i="7"/>
  <c r="O14" i="7"/>
  <c r="M91" i="7"/>
  <c r="L33" i="7"/>
  <c r="L45" i="7"/>
  <c r="M98" i="7"/>
  <c r="N90" i="7"/>
  <c r="C43" i="9"/>
  <c r="D25" i="9"/>
  <c r="D55" i="9"/>
  <c r="C22" i="7"/>
  <c r="C12" i="9"/>
  <c r="D86" i="9"/>
  <c r="C59" i="7"/>
  <c r="D68" i="9"/>
  <c r="D76" i="9"/>
  <c r="C19" i="7"/>
  <c r="C46" i="9"/>
  <c r="C20" i="7"/>
  <c r="D17" i="9"/>
  <c r="C40" i="9"/>
  <c r="C109" i="9"/>
  <c r="C97" i="9"/>
  <c r="C77" i="7"/>
  <c r="D36" i="9"/>
  <c r="D31" i="9"/>
  <c r="C84" i="9"/>
  <c r="C103" i="9"/>
  <c r="C52" i="7"/>
  <c r="C86" i="7"/>
  <c r="D77" i="9"/>
  <c r="C98" i="9"/>
  <c r="C60" i="7"/>
  <c r="C87" i="9"/>
  <c r="C73" i="9"/>
  <c r="D27" i="9"/>
  <c r="C102" i="7"/>
  <c r="C48" i="9"/>
  <c r="D13" i="9"/>
  <c r="C63" i="9"/>
  <c r="C94" i="7"/>
  <c r="D38" i="9"/>
  <c r="D72" i="9"/>
  <c r="C75" i="7"/>
  <c r="C99" i="9"/>
  <c r="C82" i="9"/>
  <c r="C58" i="9"/>
  <c r="C23" i="9"/>
  <c r="C96" i="9"/>
  <c r="C15" i="9"/>
  <c r="C100" i="9"/>
  <c r="D35" i="9"/>
  <c r="C34" i="7"/>
  <c r="C93" i="7"/>
  <c r="C97" i="7"/>
  <c r="D59" i="9"/>
  <c r="C78" i="7"/>
  <c r="D42" i="9"/>
  <c r="C106" i="7"/>
  <c r="C60" i="9"/>
  <c r="C45" i="9"/>
  <c r="D79" i="9"/>
  <c r="C47" i="9"/>
  <c r="C16" i="7"/>
  <c r="D60" i="9"/>
  <c r="C90" i="7"/>
  <c r="D65" i="9"/>
  <c r="C69" i="7"/>
  <c r="C16" i="9"/>
  <c r="C62" i="9"/>
  <c r="C71" i="9"/>
  <c r="D32" i="9"/>
  <c r="D52" i="9"/>
  <c r="C38" i="9"/>
  <c r="C102" i="9"/>
  <c r="C18" i="7"/>
  <c r="C36" i="9"/>
  <c r="D90" i="9"/>
  <c r="C83" i="7"/>
  <c r="C89" i="7"/>
  <c r="D82" i="9"/>
  <c r="D51" i="9"/>
  <c r="C49" i="7"/>
  <c r="C25" i="9"/>
  <c r="C41" i="9"/>
  <c r="C101" i="7"/>
  <c r="C22" i="9"/>
  <c r="C18" i="9"/>
  <c r="D48" i="9"/>
  <c r="C28" i="9"/>
  <c r="C100" i="7"/>
  <c r="C68" i="7"/>
  <c r="C38" i="7"/>
  <c r="C31" i="9"/>
  <c r="C92" i="7"/>
  <c r="D28" i="9"/>
  <c r="C54" i="7"/>
  <c r="D16" i="9"/>
  <c r="D43" i="9"/>
  <c r="D24" i="9"/>
  <c r="D91" i="9"/>
  <c r="D62" i="9"/>
  <c r="D44" i="9"/>
  <c r="C86" i="9"/>
  <c r="C46" i="7"/>
  <c r="C36" i="7"/>
  <c r="D103" i="9"/>
  <c r="C91" i="7"/>
  <c r="C33" i="9"/>
  <c r="C44" i="7"/>
  <c r="D108" i="9"/>
  <c r="C72" i="7"/>
  <c r="C26" i="7"/>
  <c r="D12" i="9"/>
  <c r="D19" i="9"/>
  <c r="C17" i="9"/>
  <c r="C74" i="9"/>
  <c r="D75" i="9"/>
  <c r="D56" i="9"/>
  <c r="C52" i="9"/>
  <c r="C58" i="7"/>
  <c r="C98" i="7"/>
  <c r="C14" i="9"/>
  <c r="C53" i="7"/>
  <c r="C32" i="9"/>
  <c r="C95" i="9"/>
  <c r="C66" i="7"/>
  <c r="D104" i="9"/>
  <c r="C39" i="9"/>
  <c r="C65" i="7"/>
  <c r="D93" i="9"/>
  <c r="D50" i="9"/>
  <c r="D109" i="9"/>
  <c r="D88" i="9"/>
  <c r="C75" i="9"/>
  <c r="C26" i="9"/>
  <c r="D78" i="9"/>
  <c r="C37" i="9"/>
  <c r="C79" i="9"/>
  <c r="D61" i="9"/>
  <c r="C68" i="9"/>
  <c r="C61" i="9"/>
  <c r="D33" i="9"/>
  <c r="C11" i="7"/>
  <c r="D99" i="9"/>
  <c r="D54" i="9"/>
  <c r="C80" i="9"/>
  <c r="D14" i="9"/>
  <c r="C17" i="7"/>
  <c r="C77" i="9"/>
  <c r="D97" i="9"/>
  <c r="C70" i="7"/>
  <c r="C82" i="7"/>
  <c r="C57" i="9"/>
  <c r="D85" i="9"/>
  <c r="C24" i="9"/>
  <c r="C95" i="7"/>
  <c r="D102" i="9"/>
  <c r="C29" i="9"/>
  <c r="C107" i="7"/>
  <c r="D94" i="9"/>
  <c r="C66" i="9"/>
  <c r="D70" i="9"/>
  <c r="C108" i="7"/>
  <c r="C76" i="7"/>
  <c r="C87" i="7"/>
  <c r="D98" i="9"/>
  <c r="C67" i="9"/>
  <c r="C55" i="7"/>
  <c r="C53" i="9"/>
  <c r="C25" i="7"/>
  <c r="C104" i="9"/>
  <c r="C13" i="9"/>
  <c r="C27" i="9"/>
  <c r="D46" i="9"/>
  <c r="C43" i="7"/>
  <c r="C88" i="9"/>
  <c r="C76" i="9"/>
  <c r="C39" i="7"/>
  <c r="D40" i="9"/>
  <c r="D95" i="9"/>
  <c r="C70" i="9"/>
  <c r="C78" i="9"/>
  <c r="C37" i="7"/>
  <c r="D58" i="9"/>
  <c r="C41" i="7"/>
  <c r="C57" i="7"/>
  <c r="D107" i="9"/>
  <c r="C61" i="7"/>
  <c r="C14" i="7"/>
  <c r="C51" i="7"/>
  <c r="D67" i="9"/>
  <c r="C35" i="9"/>
  <c r="D110" i="9"/>
  <c r="C104" i="7"/>
  <c r="C79" i="7"/>
  <c r="C85" i="9"/>
  <c r="D101" i="9"/>
  <c r="C49" i="9"/>
  <c r="C29" i="7"/>
  <c r="C109" i="7"/>
  <c r="C80" i="7"/>
  <c r="D92" i="9"/>
  <c r="C73" i="7"/>
  <c r="C56" i="9"/>
  <c r="D106" i="9"/>
  <c r="C44" i="9"/>
  <c r="D81" i="9"/>
  <c r="C81" i="9"/>
  <c r="D66" i="9"/>
  <c r="D53" i="9"/>
  <c r="C69" i="9"/>
  <c r="C47" i="7"/>
  <c r="C65" i="9"/>
  <c r="D18" i="9"/>
  <c r="D63" i="9"/>
  <c r="D37" i="9"/>
  <c r="D105" i="9"/>
  <c r="D49" i="9"/>
  <c r="C40" i="7"/>
  <c r="D29" i="9"/>
  <c r="C108" i="9"/>
  <c r="C94" i="9"/>
  <c r="C62" i="7"/>
  <c r="C55" i="9"/>
  <c r="C64" i="7"/>
  <c r="D69" i="9"/>
  <c r="D23" i="9"/>
  <c r="C23" i="7"/>
  <c r="D87" i="9"/>
  <c r="D84" i="9"/>
  <c r="D34" i="9"/>
  <c r="C81" i="7"/>
  <c r="C90" i="9"/>
  <c r="C105" i="9"/>
  <c r="C15" i="7"/>
  <c r="C103" i="7"/>
  <c r="C21" i="9"/>
  <c r="C110" i="9"/>
  <c r="C19" i="9"/>
  <c r="C92" i="9"/>
  <c r="C56" i="7"/>
  <c r="C21" i="7"/>
  <c r="C107" i="9"/>
  <c r="C96" i="7"/>
  <c r="C35" i="7"/>
  <c r="C24" i="7"/>
  <c r="C50" i="9"/>
  <c r="C105" i="7"/>
  <c r="C88" i="7"/>
  <c r="C48" i="7"/>
  <c r="D80" i="9"/>
  <c r="C45" i="7"/>
  <c r="C72" i="9"/>
  <c r="C84" i="7"/>
  <c r="C28" i="7"/>
  <c r="C50" i="7"/>
  <c r="C34" i="9"/>
  <c r="C64" i="9"/>
  <c r="D20" i="9"/>
  <c r="C42" i="7"/>
  <c r="D21" i="9"/>
  <c r="C13" i="7"/>
  <c r="C74" i="7"/>
  <c r="D89" i="9"/>
  <c r="C42" i="9"/>
  <c r="C33" i="7"/>
  <c r="D15" i="9"/>
  <c r="D47" i="9"/>
  <c r="C71" i="7"/>
  <c r="C31" i="7"/>
  <c r="C93" i="9"/>
  <c r="C20" i="9"/>
  <c r="D45" i="9"/>
  <c r="D64" i="9"/>
  <c r="D83" i="9"/>
  <c r="C85" i="7"/>
  <c r="C30" i="9"/>
  <c r="C89" i="9"/>
  <c r="C67" i="7"/>
  <c r="D71" i="9"/>
  <c r="C99" i="7"/>
  <c r="D22" i="9"/>
  <c r="D39" i="9"/>
  <c r="D74" i="9"/>
  <c r="C27" i="7"/>
  <c r="D41" i="9"/>
  <c r="D73" i="9"/>
  <c r="D96" i="9"/>
  <c r="C63" i="7"/>
  <c r="D30" i="9"/>
  <c r="C30" i="7"/>
  <c r="D57" i="9"/>
  <c r="D26" i="9"/>
  <c r="D100" i="9"/>
  <c r="C106" i="9"/>
  <c r="C12" i="7"/>
  <c r="C54" i="9"/>
  <c r="C101" i="9"/>
  <c r="C32" i="7"/>
  <c r="C51" i="9"/>
  <c r="C91" i="9"/>
  <c r="C83" i="9"/>
  <c r="C59" i="9"/>
  <c r="E11" i="9" l="1"/>
  <c r="J97" i="9"/>
  <c r="D55" i="7"/>
  <c r="E55" i="7" s="1"/>
  <c r="J78" i="9"/>
  <c r="J24" i="9"/>
  <c r="D17" i="7"/>
  <c r="E17" i="7" s="1"/>
  <c r="D96" i="7"/>
  <c r="E96" i="7" s="1"/>
  <c r="D31" i="7"/>
  <c r="E31" i="7" s="1"/>
  <c r="J60" i="9"/>
  <c r="J79" i="9"/>
  <c r="J77" i="9"/>
  <c r="J69" i="9"/>
  <c r="J37" i="9"/>
  <c r="D93" i="7"/>
  <c r="E93" i="7" s="1"/>
  <c r="J50" i="9"/>
  <c r="E87" i="9"/>
  <c r="E16" i="9"/>
  <c r="E93" i="9"/>
  <c r="J57" i="9"/>
  <c r="D41" i="7"/>
  <c r="E41" i="7" s="1"/>
  <c r="J59" i="9"/>
  <c r="E70" i="9"/>
  <c r="D100" i="7"/>
  <c r="E100" i="7" s="1"/>
  <c r="E90" i="9"/>
  <c r="J23" i="9"/>
  <c r="E102" i="9"/>
  <c r="E110" i="9"/>
  <c r="J41" i="9"/>
  <c r="J102" i="9"/>
  <c r="D70" i="7"/>
  <c r="E70" i="7" s="1"/>
  <c r="J39" i="9"/>
  <c r="D90" i="7"/>
  <c r="E90" i="7" s="1"/>
  <c r="E68" i="9"/>
  <c r="J76" i="9"/>
  <c r="J87" i="9"/>
  <c r="J35" i="9"/>
  <c r="D11" i="7"/>
  <c r="E11" i="7" s="1"/>
  <c r="J30" i="9"/>
  <c r="E65" i="9"/>
  <c r="E34" i="9"/>
  <c r="D76" i="7"/>
  <c r="E76" i="7" s="1"/>
  <c r="J46" i="9"/>
  <c r="D32" i="7"/>
  <c r="E32" i="7" s="1"/>
  <c r="J43" i="9"/>
  <c r="D46" i="7"/>
  <c r="E46" i="7" s="1"/>
  <c r="E79" i="9"/>
  <c r="D61" i="7"/>
  <c r="E61" i="7" s="1"/>
  <c r="E17" i="9"/>
  <c r="D28" i="7"/>
  <c r="E28" i="7" s="1"/>
  <c r="E60" i="9"/>
  <c r="D26" i="7"/>
  <c r="E26" i="7" s="1"/>
  <c r="J36" i="9"/>
  <c r="H3" i="9"/>
  <c r="D103" i="7"/>
  <c r="E103" i="7" s="1"/>
  <c r="E88" i="9"/>
  <c r="E54" i="9"/>
  <c r="J74" i="9"/>
  <c r="J16" i="9"/>
  <c r="D101" i="7"/>
  <c r="E101" i="7" s="1"/>
  <c r="D50" i="7"/>
  <c r="E50" i="7" s="1"/>
  <c r="D27" i="7"/>
  <c r="E27" i="7" s="1"/>
  <c r="E21" i="9"/>
  <c r="D80" i="7"/>
  <c r="E80" i="7" s="1"/>
  <c r="E29" i="9"/>
  <c r="E35" i="9"/>
  <c r="J14" i="9"/>
  <c r="E63" i="9"/>
  <c r="E13" i="9"/>
  <c r="D22" i="7"/>
  <c r="E22" i="7" s="1"/>
  <c r="E56" i="9"/>
  <c r="E28" i="9"/>
  <c r="D86" i="7"/>
  <c r="E86" i="7" s="1"/>
  <c r="J20" i="9"/>
  <c r="F11" i="9"/>
  <c r="G11" i="9" s="1"/>
  <c r="J94" i="9"/>
  <c r="J67" i="9"/>
  <c r="J40" i="9"/>
  <c r="D14" i="7"/>
  <c r="E14" i="7" s="1"/>
  <c r="J12" i="9"/>
  <c r="J21" i="9"/>
  <c r="D63" i="7"/>
  <c r="E63" i="7" s="1"/>
  <c r="E81" i="9"/>
  <c r="J56" i="9"/>
  <c r="E38" i="9"/>
  <c r="D97" i="7"/>
  <c r="E97" i="7" s="1"/>
  <c r="E83" i="9"/>
  <c r="D87" i="7"/>
  <c r="E87" i="7" s="1"/>
  <c r="E14" i="9"/>
  <c r="E31" i="9"/>
  <c r="E27" i="9"/>
  <c r="D94" i="7"/>
  <c r="E94" i="7" s="1"/>
  <c r="D40" i="7"/>
  <c r="E40" i="7" s="1"/>
  <c r="E62" i="9"/>
  <c r="D48" i="7"/>
  <c r="E48" i="7" s="1"/>
  <c r="D84" i="7"/>
  <c r="E84" i="7" s="1"/>
  <c r="D75" i="7"/>
  <c r="E75" i="7" s="1"/>
  <c r="E82" i="9"/>
  <c r="E97" i="9"/>
  <c r="J68" i="9"/>
  <c r="E41" i="9"/>
  <c r="J83" i="9"/>
  <c r="D20" i="7"/>
  <c r="E20" i="7" s="1"/>
  <c r="E107" i="9"/>
  <c r="D82" i="7"/>
  <c r="E82" i="7" s="1"/>
  <c r="D95" i="7"/>
  <c r="E95" i="7" s="1"/>
  <c r="J55" i="9"/>
  <c r="D89" i="7"/>
  <c r="E89" i="7" s="1"/>
  <c r="D13" i="7"/>
  <c r="E13" i="7" s="1"/>
  <c r="D10" i="7"/>
  <c r="E10" i="7" s="1"/>
  <c r="F10" i="7" s="1"/>
  <c r="D72" i="7"/>
  <c r="E72" i="7" s="1"/>
  <c r="D39" i="7"/>
  <c r="E39" i="7" s="1"/>
  <c r="J54" i="9"/>
  <c r="J45" i="9"/>
  <c r="D64" i="7"/>
  <c r="E64" i="7" s="1"/>
  <c r="J18" i="9"/>
  <c r="J96" i="9"/>
  <c r="D77" i="7"/>
  <c r="E77" i="7" s="1"/>
  <c r="D25" i="7"/>
  <c r="E25" i="7" s="1"/>
  <c r="D69" i="7"/>
  <c r="E69" i="7" s="1"/>
  <c r="D16" i="7"/>
  <c r="E16" i="7" s="1"/>
  <c r="E26" i="9"/>
  <c r="E108" i="9"/>
  <c r="E59" i="9"/>
  <c r="J107" i="9"/>
  <c r="E96" i="9"/>
  <c r="D54" i="7"/>
  <c r="E54" i="7" s="1"/>
  <c r="J104" i="9"/>
  <c r="E57" i="9"/>
  <c r="D51" i="7"/>
  <c r="E51" i="7" s="1"/>
  <c r="J101" i="9"/>
  <c r="D102" i="7"/>
  <c r="E102" i="7" s="1"/>
  <c r="D91" i="7"/>
  <c r="E91" i="7" s="1"/>
  <c r="E19" i="9"/>
  <c r="E23" i="9"/>
  <c r="J48" i="9"/>
  <c r="J106" i="9"/>
  <c r="J73" i="9"/>
  <c r="D62" i="7"/>
  <c r="E62" i="7" s="1"/>
  <c r="E91" i="9"/>
  <c r="E109" i="9"/>
  <c r="D44" i="7"/>
  <c r="E44" i="7" s="1"/>
  <c r="J26" i="9"/>
  <c r="E47" i="9"/>
  <c r="D35" i="7"/>
  <c r="E35" i="7" s="1"/>
  <c r="J98" i="9"/>
  <c r="E44" i="9"/>
  <c r="J47" i="9"/>
  <c r="D30" i="7"/>
  <c r="E30" i="7" s="1"/>
  <c r="D59" i="7"/>
  <c r="E59" i="7" s="1"/>
  <c r="E25" i="9"/>
  <c r="D38" i="7"/>
  <c r="E38" i="7" s="1"/>
  <c r="D60" i="7"/>
  <c r="E60" i="7" s="1"/>
  <c r="E61" i="9"/>
  <c r="D98" i="7"/>
  <c r="E98" i="7" s="1"/>
  <c r="J109" i="9"/>
  <c r="D58" i="7"/>
  <c r="E58" i="7" s="1"/>
  <c r="D43" i="7"/>
  <c r="E43" i="7" s="1"/>
  <c r="E32" i="9"/>
  <c r="E73" i="9"/>
  <c r="E30" i="9"/>
  <c r="J52" i="9"/>
  <c r="J110" i="9"/>
  <c r="E37" i="9"/>
  <c r="J75" i="9"/>
  <c r="D78" i="7"/>
  <c r="E78" i="7" s="1"/>
  <c r="E46" i="9"/>
  <c r="E86" i="9"/>
  <c r="D71" i="7"/>
  <c r="E71" i="7" s="1"/>
  <c r="E66" i="9"/>
  <c r="J15" i="9"/>
  <c r="J25" i="9"/>
  <c r="D34" i="7"/>
  <c r="E34" i="7" s="1"/>
  <c r="E106" i="9"/>
  <c r="E101" i="9"/>
  <c r="E48" i="9"/>
  <c r="E78" i="9"/>
  <c r="J72" i="9"/>
  <c r="E49" i="9"/>
  <c r="E42" i="9"/>
  <c r="J85" i="9"/>
  <c r="D52" i="7"/>
  <c r="E52" i="7" s="1"/>
  <c r="E95" i="9"/>
  <c r="D42" i="7"/>
  <c r="E42" i="7" s="1"/>
  <c r="D109" i="7"/>
  <c r="E109" i="7" s="1"/>
  <c r="J42" i="9"/>
  <c r="J84" i="9"/>
  <c r="D67" i="7"/>
  <c r="E67" i="7" s="1"/>
  <c r="E51" i="9"/>
  <c r="J58" i="9"/>
  <c r="E45" i="9"/>
  <c r="E18" i="9"/>
  <c r="J91" i="9"/>
  <c r="J49" i="9"/>
  <c r="D24" i="7"/>
  <c r="E24" i="7" s="1"/>
  <c r="D33" i="7"/>
  <c r="E33" i="7" s="1"/>
  <c r="D21" i="7"/>
  <c r="E21" i="7" s="1"/>
  <c r="J34" i="9"/>
  <c r="E104" i="9"/>
  <c r="D85" i="7"/>
  <c r="E85" i="7" s="1"/>
  <c r="D81" i="7"/>
  <c r="E81" i="7" s="1"/>
  <c r="E58" i="9"/>
  <c r="J86" i="9"/>
  <c r="D15" i="7"/>
  <c r="E15" i="7" s="1"/>
  <c r="J105" i="9"/>
  <c r="J61" i="9"/>
  <c r="D23" i="7"/>
  <c r="E23" i="7" s="1"/>
  <c r="J28" i="9"/>
  <c r="D107" i="7"/>
  <c r="E107" i="7" s="1"/>
  <c r="J13" i="9"/>
  <c r="E89" i="9"/>
  <c r="E100" i="9"/>
  <c r="E15" i="9"/>
  <c r="D108" i="7"/>
  <c r="E108" i="7" s="1"/>
  <c r="E76" i="9"/>
  <c r="J108" i="9"/>
  <c r="J44" i="9"/>
  <c r="D29" i="7"/>
  <c r="E29" i="7" s="1"/>
  <c r="E52" i="9"/>
  <c r="J82" i="9"/>
  <c r="D49" i="7"/>
  <c r="E49" i="7" s="1"/>
  <c r="E40" i="9"/>
  <c r="E20" i="9"/>
  <c r="J103" i="9"/>
  <c r="J71" i="9"/>
  <c r="J33" i="9"/>
  <c r="D56" i="7"/>
  <c r="E56" i="7" s="1"/>
  <c r="D65" i="7"/>
  <c r="E65" i="7" s="1"/>
  <c r="D99" i="7"/>
  <c r="E99" i="7" s="1"/>
  <c r="E105" i="9"/>
  <c r="E72" i="9"/>
  <c r="J80" i="9"/>
  <c r="E50" i="9"/>
  <c r="E43" i="9"/>
  <c r="J89" i="9"/>
  <c r="D68" i="7"/>
  <c r="E68" i="7" s="1"/>
  <c r="E103" i="9"/>
  <c r="E77" i="9"/>
  <c r="D18" i="7"/>
  <c r="E18" i="7" s="1"/>
  <c r="J70" i="9"/>
  <c r="E24" i="9"/>
  <c r="J53" i="9"/>
  <c r="D104" i="7"/>
  <c r="E104" i="7" s="1"/>
  <c r="E92" i="9"/>
  <c r="J100" i="9"/>
  <c r="E55" i="9"/>
  <c r="D19" i="7"/>
  <c r="E19" i="7" s="1"/>
  <c r="J99" i="9"/>
  <c r="D57" i="7"/>
  <c r="E57" i="7" s="1"/>
  <c r="D83" i="7"/>
  <c r="E83" i="7" s="1"/>
  <c r="E33" i="9"/>
  <c r="J27" i="9"/>
  <c r="J90" i="9"/>
  <c r="J65" i="9"/>
  <c r="J32" i="9"/>
  <c r="E71" i="9"/>
  <c r="E74" i="9"/>
  <c r="E98" i="9"/>
  <c r="E85" i="9"/>
  <c r="D74" i="7"/>
  <c r="E74" i="7" s="1"/>
  <c r="E75" i="9"/>
  <c r="J64" i="9"/>
  <c r="E67" i="9"/>
  <c r="J31" i="9"/>
  <c r="E39" i="9"/>
  <c r="J81" i="9"/>
  <c r="J29" i="9"/>
  <c r="D105" i="7"/>
  <c r="E105" i="7" s="1"/>
  <c r="D66" i="7"/>
  <c r="E66" i="7" s="1"/>
  <c r="E99" i="9"/>
  <c r="J22" i="9"/>
  <c r="D92" i="7"/>
  <c r="E92" i="7" s="1"/>
  <c r="E80" i="9"/>
  <c r="J88" i="9"/>
  <c r="D47" i="7"/>
  <c r="E47" i="7" s="1"/>
  <c r="E53" i="9"/>
  <c r="J62" i="9"/>
  <c r="D45" i="7"/>
  <c r="E45" i="7" s="1"/>
  <c r="E22" i="9"/>
  <c r="J93" i="9"/>
  <c r="J51" i="9"/>
  <c r="D12" i="7"/>
  <c r="E12" i="7" s="1"/>
  <c r="D88" i="7"/>
  <c r="E88" i="7" s="1"/>
  <c r="D37" i="7"/>
  <c r="E37" i="7" s="1"/>
  <c r="E94" i="9"/>
  <c r="J38" i="9"/>
  <c r="E69" i="9"/>
  <c r="E84" i="9"/>
  <c r="D73" i="7"/>
  <c r="E73" i="7" s="1"/>
  <c r="J92" i="9"/>
  <c r="J19" i="9"/>
  <c r="E64" i="9"/>
  <c r="J66" i="9"/>
  <c r="D79" i="7"/>
  <c r="E79" i="7" s="1"/>
  <c r="E36" i="9"/>
  <c r="E12" i="9"/>
  <c r="J95" i="9"/>
  <c r="J63" i="9"/>
  <c r="J17" i="9"/>
  <c r="D36" i="7"/>
  <c r="E36" i="7" s="1"/>
  <c r="D106" i="7"/>
  <c r="E106" i="7" s="1"/>
  <c r="D53" i="7"/>
  <c r="E53" i="7" s="1"/>
  <c r="L20" i="1"/>
  <c r="L47" i="1"/>
  <c r="M46" i="1"/>
  <c r="M97" i="1"/>
  <c r="K54" i="1"/>
  <c r="L50" i="1"/>
  <c r="L77" i="1"/>
  <c r="K4" i="1"/>
  <c r="K59" i="1"/>
  <c r="M11" i="1"/>
  <c r="L88" i="1"/>
  <c r="K29" i="1"/>
  <c r="K80" i="1"/>
  <c r="M32" i="1"/>
  <c r="L52" i="1"/>
  <c r="L79" i="1"/>
  <c r="K8" i="1"/>
  <c r="K63" i="1"/>
  <c r="M15" i="1"/>
  <c r="L82" i="1"/>
  <c r="K17" i="1"/>
  <c r="K68" i="1"/>
  <c r="M20" i="1"/>
  <c r="M75" i="1"/>
  <c r="L19" i="1"/>
  <c r="K93" i="1"/>
  <c r="M41" i="1"/>
  <c r="M96" i="1"/>
  <c r="K21" i="1"/>
  <c r="M24" i="1"/>
  <c r="L13" i="1"/>
  <c r="M29" i="1"/>
  <c r="L24" i="1"/>
  <c r="M54" i="1"/>
  <c r="K62" i="1"/>
  <c r="K89" i="1"/>
  <c r="L41" i="1"/>
  <c r="L38" i="1"/>
  <c r="K90" i="1"/>
  <c r="M44" i="1"/>
  <c r="L76" i="1"/>
  <c r="K5" i="1"/>
  <c r="K56" i="1"/>
  <c r="M8" i="1"/>
  <c r="M63" i="1"/>
  <c r="L5" i="1"/>
  <c r="K65" i="1"/>
  <c r="M13" i="1"/>
  <c r="M68" i="1"/>
  <c r="L16" i="1"/>
  <c r="L43" i="1"/>
  <c r="M38" i="1"/>
  <c r="M89" i="1"/>
  <c r="K46" i="1"/>
  <c r="K25" i="1"/>
  <c r="L9" i="1"/>
  <c r="L6" i="1"/>
  <c r="K26" i="1"/>
  <c r="K83" i="1"/>
  <c r="L31" i="1"/>
  <c r="M65" i="1"/>
  <c r="L34" i="1"/>
  <c r="M74" i="1"/>
  <c r="K82" i="1"/>
  <c r="L99" i="1"/>
  <c r="K3" i="1"/>
  <c r="K67" i="1"/>
  <c r="K57" i="1"/>
  <c r="L60" i="1"/>
  <c r="K24" i="1"/>
  <c r="M31" i="1"/>
  <c r="K33" i="1"/>
  <c r="M36" i="1"/>
  <c r="L27" i="1"/>
  <c r="M57" i="1"/>
  <c r="L49" i="1"/>
  <c r="M3" i="1"/>
  <c r="M53" i="1"/>
  <c r="K53" i="1"/>
  <c r="M56" i="1"/>
  <c r="L29" i="1"/>
  <c r="M61" i="1"/>
  <c r="L40" i="1"/>
  <c r="M86" i="1"/>
  <c r="K94" i="1"/>
  <c r="K9" i="1"/>
  <c r="L30" i="1"/>
  <c r="L92" i="1"/>
  <c r="K88" i="1"/>
  <c r="M95" i="1"/>
  <c r="K97" i="1"/>
  <c r="M100" i="1"/>
  <c r="L59" i="1"/>
  <c r="K23" i="1"/>
  <c r="M50" i="1"/>
  <c r="L70" i="1"/>
  <c r="K10" i="1"/>
  <c r="K85" i="1"/>
  <c r="M88" i="1"/>
  <c r="L45" i="1"/>
  <c r="M93" i="1"/>
  <c r="L56" i="1"/>
  <c r="K16" i="1"/>
  <c r="M23" i="1"/>
  <c r="M37" i="1"/>
  <c r="M34" i="1"/>
  <c r="L65" i="1"/>
  <c r="L94" i="1"/>
  <c r="M99" i="1"/>
  <c r="L7" i="1"/>
  <c r="K69" i="1"/>
  <c r="M17" i="1"/>
  <c r="M72" i="1"/>
  <c r="L10" i="1"/>
  <c r="L37" i="1"/>
  <c r="M26" i="1"/>
  <c r="M77" i="1"/>
  <c r="K34" i="1"/>
  <c r="L48" i="1"/>
  <c r="L75" i="1"/>
  <c r="M102" i="1"/>
  <c r="K55" i="1"/>
  <c r="M7" i="1"/>
  <c r="K76" i="1"/>
  <c r="K73" i="1"/>
  <c r="L33" i="1"/>
  <c r="L62" i="1"/>
  <c r="M35" i="1"/>
  <c r="L95" i="1"/>
  <c r="K95" i="1"/>
  <c r="L98" i="1"/>
  <c r="K100" i="1"/>
  <c r="L8" i="1"/>
  <c r="M22" i="1"/>
  <c r="K30" i="1"/>
  <c r="L78" i="1"/>
  <c r="M60" i="1"/>
  <c r="L23" i="1"/>
  <c r="M49" i="1"/>
  <c r="L26" i="1"/>
  <c r="M58" i="1"/>
  <c r="K66" i="1"/>
  <c r="L91" i="1"/>
  <c r="K87" i="1"/>
  <c r="M101" i="1"/>
  <c r="L97" i="1"/>
  <c r="L36" i="1"/>
  <c r="M78" i="1"/>
  <c r="K86" i="1"/>
  <c r="L93" i="1"/>
  <c r="K91" i="1"/>
  <c r="L3" i="1"/>
  <c r="M9" i="1"/>
  <c r="L54" i="1"/>
  <c r="M12" i="1"/>
  <c r="M66" i="1"/>
  <c r="L55" i="1"/>
  <c r="K15" i="1"/>
  <c r="L58" i="1"/>
  <c r="K20" i="1"/>
  <c r="M27" i="1"/>
  <c r="K45" i="1"/>
  <c r="M48" i="1"/>
  <c r="K58" i="1"/>
  <c r="K44" i="1"/>
  <c r="L84" i="1"/>
  <c r="M79" i="1"/>
  <c r="M84" i="1"/>
  <c r="K7" i="1"/>
  <c r="M92" i="1"/>
  <c r="M82" i="1"/>
  <c r="L12" i="1"/>
  <c r="M30" i="1"/>
  <c r="K38" i="1"/>
  <c r="L69" i="1"/>
  <c r="K43" i="1"/>
  <c r="L80" i="1"/>
  <c r="K64" i="1"/>
  <c r="M71" i="1"/>
  <c r="M21" i="1"/>
  <c r="L89" i="1"/>
  <c r="M14" i="1"/>
  <c r="L61" i="1"/>
  <c r="L72" i="1"/>
  <c r="M55" i="1"/>
  <c r="L57" i="1"/>
  <c r="K79" i="1"/>
  <c r="K84" i="1"/>
  <c r="M6" i="1"/>
  <c r="L46" i="1"/>
  <c r="L100" i="1"/>
  <c r="L2" i="1"/>
  <c r="K18" i="1"/>
  <c r="K39" i="1"/>
  <c r="L102" i="1"/>
  <c r="K37" i="1"/>
  <c r="L21" i="1"/>
  <c r="L32" i="1"/>
  <c r="K78" i="1"/>
  <c r="M51" i="1"/>
  <c r="L15" i="1"/>
  <c r="L18" i="1"/>
  <c r="K50" i="1"/>
  <c r="K71" i="1"/>
  <c r="L14" i="1"/>
  <c r="K35" i="1"/>
  <c r="L44" i="1"/>
  <c r="M94" i="1"/>
  <c r="K102" i="1"/>
  <c r="L101" i="1"/>
  <c r="M4" i="1"/>
  <c r="L11" i="1"/>
  <c r="M25" i="1"/>
  <c r="L86" i="1"/>
  <c r="M76" i="1"/>
  <c r="K28" i="1"/>
  <c r="K40" i="1"/>
  <c r="K49" i="1"/>
  <c r="L35" i="1"/>
  <c r="L81" i="1"/>
  <c r="K19" i="1"/>
  <c r="K6" i="1"/>
  <c r="K11" i="1"/>
  <c r="K32" i="1"/>
  <c r="M98" i="1"/>
  <c r="L63" i="1"/>
  <c r="L66" i="1"/>
  <c r="M43" i="1"/>
  <c r="M64" i="1"/>
  <c r="M5" i="1"/>
  <c r="M62" i="1"/>
  <c r="L85" i="1"/>
  <c r="L96" i="1"/>
  <c r="L22" i="1"/>
  <c r="M2" i="1"/>
  <c r="M33" i="1"/>
  <c r="L83" i="1"/>
  <c r="K42" i="1"/>
  <c r="L71" i="1"/>
  <c r="L74" i="1"/>
  <c r="M59" i="1"/>
  <c r="M80" i="1"/>
  <c r="M69" i="1"/>
  <c r="M47" i="1"/>
  <c r="M73" i="1"/>
  <c r="K101" i="1"/>
  <c r="L64" i="1"/>
  <c r="L25" i="1"/>
  <c r="K36" i="1"/>
  <c r="M19" i="1"/>
  <c r="K70" i="1"/>
  <c r="K96" i="1"/>
  <c r="M39" i="1"/>
  <c r="K75" i="1"/>
  <c r="K81" i="1"/>
  <c r="M87" i="1"/>
  <c r="K41" i="1"/>
  <c r="M81" i="1"/>
  <c r="M90" i="1"/>
  <c r="K13" i="1"/>
  <c r="M28" i="1"/>
  <c r="L4" i="1"/>
  <c r="K27" i="1"/>
  <c r="K60" i="1"/>
  <c r="L90" i="1"/>
  <c r="K14" i="1"/>
  <c r="K2" i="1"/>
  <c r="L67" i="1"/>
  <c r="K74" i="1"/>
  <c r="M45" i="1"/>
  <c r="L73" i="1"/>
  <c r="M42" i="1"/>
  <c r="L17" i="1"/>
  <c r="K92" i="1"/>
  <c r="K47" i="1"/>
  <c r="K52" i="1"/>
  <c r="K77" i="1"/>
  <c r="M83" i="1"/>
  <c r="L68" i="1"/>
  <c r="M52" i="1"/>
  <c r="M67" i="1"/>
  <c r="L53" i="1"/>
  <c r="K31" i="1"/>
  <c r="K61" i="1"/>
  <c r="L28" i="1"/>
  <c r="K51" i="1"/>
  <c r="K72" i="1"/>
  <c r="L51" i="1"/>
  <c r="M85" i="1"/>
  <c r="L39" i="1"/>
  <c r="L42" i="1"/>
  <c r="K98" i="1"/>
  <c r="M16" i="1"/>
  <c r="M18" i="1"/>
  <c r="K22" i="1"/>
  <c r="K48" i="1"/>
  <c r="L87" i="1"/>
  <c r="M91" i="1"/>
  <c r="K99" i="1"/>
  <c r="M10" i="1"/>
  <c r="K12" i="1"/>
  <c r="M40" i="1"/>
  <c r="M70" i="1"/>
  <c r="D110" i="7"/>
  <c r="E110" i="7" s="1"/>
  <c r="D111" i="9"/>
  <c r="J111" i="9" s="1"/>
  <c r="C111" i="9"/>
  <c r="N51" i="1"/>
  <c r="N94" i="1"/>
  <c r="N62" i="1"/>
  <c r="N73" i="1"/>
  <c r="N86" i="1"/>
  <c r="N83" i="1"/>
  <c r="N32" i="1"/>
  <c r="N31" i="1"/>
  <c r="N46" i="1"/>
  <c r="N57" i="1"/>
  <c r="N26" i="1"/>
  <c r="N33" i="1"/>
  <c r="N59" i="1"/>
  <c r="N28" i="1"/>
  <c r="N8" i="1"/>
  <c r="N88" i="1"/>
  <c r="N10" i="1"/>
  <c r="N16" i="1"/>
  <c r="N39" i="1"/>
  <c r="N7" i="1"/>
  <c r="N50" i="1"/>
  <c r="N69" i="1"/>
  <c r="N11" i="1"/>
  <c r="N64" i="1"/>
  <c r="N42" i="1"/>
  <c r="N38" i="1"/>
  <c r="N35" i="1"/>
  <c r="N49" i="1"/>
  <c r="N71" i="1"/>
  <c r="N9" i="1"/>
  <c r="N87" i="1"/>
  <c r="N20" i="1"/>
  <c r="N21" i="1"/>
  <c r="N27" i="1"/>
  <c r="N6" i="1"/>
  <c r="N74" i="1"/>
  <c r="N41" i="1"/>
  <c r="N79" i="1"/>
  <c r="N12" i="1"/>
  <c r="N56" i="1"/>
  <c r="N29" i="1"/>
  <c r="N82" i="1"/>
  <c r="N53" i="1"/>
  <c r="N97" i="1"/>
  <c r="N3" i="1"/>
  <c r="N44" i="1"/>
  <c r="N54" i="1"/>
  <c r="N80" i="1"/>
  <c r="N14" i="1"/>
  <c r="N4" i="1"/>
  <c r="N58" i="1"/>
  <c r="N55" i="1"/>
  <c r="N84" i="1"/>
  <c r="N95" i="1"/>
  <c r="N37" i="1"/>
  <c r="N89" i="1"/>
  <c r="N18" i="1"/>
  <c r="N48" i="1"/>
  <c r="N40" i="1"/>
  <c r="N70" i="1"/>
  <c r="N22" i="1"/>
  <c r="N43" i="1"/>
  <c r="N99" i="1"/>
  <c r="N90" i="1"/>
  <c r="N81" i="1"/>
  <c r="N24" i="1"/>
  <c r="N30" i="1"/>
  <c r="N92" i="1"/>
  <c r="N91" i="1"/>
  <c r="N85" i="1"/>
  <c r="N15" i="1"/>
  <c r="N76" i="1"/>
  <c r="N45" i="1"/>
  <c r="N102" i="1"/>
  <c r="N47" i="1"/>
  <c r="N67" i="1"/>
  <c r="N60" i="1"/>
  <c r="N72" i="1"/>
  <c r="N65" i="1"/>
  <c r="N96" i="1"/>
  <c r="N93" i="1"/>
  <c r="N13" i="1"/>
  <c r="N36" i="1"/>
  <c r="N52" i="1"/>
  <c r="N61" i="1"/>
  <c r="N66" i="1"/>
  <c r="N23" i="1"/>
  <c r="N77" i="1"/>
  <c r="N100" i="1"/>
  <c r="N68" i="1"/>
  <c r="N17" i="1"/>
  <c r="N19" i="1"/>
  <c r="N34" i="1"/>
  <c r="N5" i="1"/>
  <c r="N101" i="1"/>
  <c r="N75" i="1"/>
  <c r="N98" i="1"/>
  <c r="N63" i="1"/>
  <c r="N25" i="1"/>
  <c r="N78" i="1"/>
  <c r="F12" i="9" l="1"/>
  <c r="F13" i="9" s="1"/>
  <c r="F14" i="9" s="1"/>
  <c r="G14" i="9" s="1"/>
  <c r="E111" i="9"/>
  <c r="G10" i="7"/>
  <c r="F11" i="7" s="1"/>
  <c r="G12" i="9" l="1"/>
  <c r="G13" i="9"/>
  <c r="F15" i="9"/>
  <c r="G11" i="7"/>
  <c r="F12" i="7" s="1"/>
  <c r="G15" i="9" l="1"/>
  <c r="F16" i="9"/>
  <c r="G12" i="7"/>
  <c r="F13" i="7" s="1"/>
  <c r="G16" i="9" l="1"/>
  <c r="F17" i="9"/>
  <c r="G13" i="7"/>
  <c r="F14" i="7" s="1"/>
  <c r="G17" i="9" l="1"/>
  <c r="F18" i="9"/>
  <c r="G14" i="7"/>
  <c r="F15" i="7" s="1"/>
  <c r="G18" i="9" l="1"/>
  <c r="F19" i="9"/>
  <c r="G15" i="7"/>
  <c r="F16" i="7" s="1"/>
  <c r="G19" i="9" l="1"/>
  <c r="F20" i="9"/>
  <c r="G16" i="7"/>
  <c r="F17" i="7" s="1"/>
  <c r="F21" i="9" l="1"/>
  <c r="G20" i="9"/>
  <c r="G17" i="7"/>
  <c r="F18" i="7" s="1"/>
  <c r="G21" i="9" l="1"/>
  <c r="F22" i="9"/>
  <c r="G18" i="7"/>
  <c r="F19" i="7" s="1"/>
  <c r="G22" i="9" l="1"/>
  <c r="F23" i="9"/>
  <c r="G19" i="7"/>
  <c r="F20" i="7" s="1"/>
  <c r="G23" i="9" l="1"/>
  <c r="F24" i="9"/>
  <c r="G20" i="7"/>
  <c r="F21" i="7" s="1"/>
  <c r="G24" i="9" l="1"/>
  <c r="F25" i="9"/>
  <c r="G21" i="7"/>
  <c r="F22" i="7" s="1"/>
  <c r="G25" i="9" l="1"/>
  <c r="F26" i="9"/>
  <c r="G22" i="7"/>
  <c r="F23" i="7" s="1"/>
  <c r="G26" i="9" l="1"/>
  <c r="F27" i="9"/>
  <c r="G23" i="7"/>
  <c r="F24" i="7" s="1"/>
  <c r="F28" i="9" l="1"/>
  <c r="G27" i="9"/>
  <c r="G24" i="7"/>
  <c r="F25" i="7" s="1"/>
  <c r="G28" i="9" l="1"/>
  <c r="F29" i="9"/>
  <c r="G25" i="7"/>
  <c r="F26" i="7" s="1"/>
  <c r="F30" i="9" l="1"/>
  <c r="G29" i="9"/>
  <c r="G26" i="7"/>
  <c r="F27" i="7" s="1"/>
  <c r="G30" i="9" l="1"/>
  <c r="F31" i="9"/>
  <c r="G27" i="7"/>
  <c r="F28" i="7" s="1"/>
  <c r="F32" i="9" l="1"/>
  <c r="G31" i="9"/>
  <c r="G28" i="7"/>
  <c r="F29" i="7" s="1"/>
  <c r="G32" i="9" l="1"/>
  <c r="F33" i="9"/>
  <c r="G29" i="7"/>
  <c r="F30" i="7" s="1"/>
  <c r="G33" i="9" l="1"/>
  <c r="F34" i="9"/>
  <c r="G30" i="7"/>
  <c r="F31" i="7" s="1"/>
  <c r="G34" i="9" l="1"/>
  <c r="F35" i="9"/>
  <c r="G31" i="7"/>
  <c r="F32" i="7" s="1"/>
  <c r="G35" i="9" l="1"/>
  <c r="F36" i="9"/>
  <c r="G32" i="7"/>
  <c r="F33" i="7" s="1"/>
  <c r="G36" i="9" l="1"/>
  <c r="F37" i="9"/>
  <c r="G33" i="7"/>
  <c r="F34" i="7" s="1"/>
  <c r="F38" i="9" l="1"/>
  <c r="G37" i="9"/>
  <c r="G34" i="7"/>
  <c r="F35" i="7" s="1"/>
  <c r="G38" i="9" l="1"/>
  <c r="F39" i="9"/>
  <c r="G35" i="7"/>
  <c r="F36" i="7" s="1"/>
  <c r="F40" i="9" l="1"/>
  <c r="G39" i="9"/>
  <c r="G36" i="7"/>
  <c r="F37" i="7" s="1"/>
  <c r="G40" i="9" l="1"/>
  <c r="F41" i="9"/>
  <c r="G37" i="7"/>
  <c r="F38" i="7" s="1"/>
  <c r="F42" i="9" l="1"/>
  <c r="G41" i="9"/>
  <c r="G38" i="7"/>
  <c r="F39" i="7" s="1"/>
  <c r="G42" i="9" l="1"/>
  <c r="F43" i="9"/>
  <c r="G39" i="7"/>
  <c r="F40" i="7" s="1"/>
  <c r="G43" i="9" l="1"/>
  <c r="F44" i="9"/>
  <c r="G40" i="7"/>
  <c r="F41" i="7" s="1"/>
  <c r="G44" i="9" l="1"/>
  <c r="F45" i="9"/>
  <c r="G41" i="7"/>
  <c r="F42" i="7" s="1"/>
  <c r="G45" i="9" l="1"/>
  <c r="F46" i="9"/>
  <c r="G42" i="7"/>
  <c r="F43" i="7" s="1"/>
  <c r="G46" i="9" l="1"/>
  <c r="F47" i="9"/>
  <c r="G43" i="7"/>
  <c r="F44" i="7" s="1"/>
  <c r="G47" i="9" l="1"/>
  <c r="F48" i="9"/>
  <c r="G44" i="7"/>
  <c r="F45" i="7" s="1"/>
  <c r="G48" i="9" l="1"/>
  <c r="F49" i="9"/>
  <c r="G45" i="7"/>
  <c r="F46" i="7" s="1"/>
  <c r="G49" i="9" l="1"/>
  <c r="F50" i="9"/>
  <c r="G46" i="7"/>
  <c r="F47" i="7" s="1"/>
  <c r="G50" i="9" l="1"/>
  <c r="F51" i="9"/>
  <c r="G47" i="7"/>
  <c r="F48" i="7" s="1"/>
  <c r="G51" i="9" l="1"/>
  <c r="F52" i="9"/>
  <c r="G48" i="7"/>
  <c r="F49" i="7" s="1"/>
  <c r="G52" i="9" l="1"/>
  <c r="F53" i="9"/>
  <c r="G49" i="7"/>
  <c r="F50" i="7" s="1"/>
  <c r="G53" i="9" l="1"/>
  <c r="F54" i="9"/>
  <c r="G50" i="7"/>
  <c r="F51" i="7" s="1"/>
  <c r="G54" i="9" l="1"/>
  <c r="F55" i="9"/>
  <c r="G51" i="7"/>
  <c r="F52" i="7" s="1"/>
  <c r="G55" i="9" l="1"/>
  <c r="F56" i="9"/>
  <c r="G52" i="7"/>
  <c r="F53" i="7" s="1"/>
  <c r="G56" i="9" l="1"/>
  <c r="F57" i="9"/>
  <c r="G53" i="7"/>
  <c r="F54" i="7" s="1"/>
  <c r="G57" i="9" l="1"/>
  <c r="F58" i="9"/>
  <c r="G54" i="7"/>
  <c r="F55" i="7" s="1"/>
  <c r="G58" i="9" l="1"/>
  <c r="F59" i="9"/>
  <c r="G55" i="7"/>
  <c r="F56" i="7" s="1"/>
  <c r="G59" i="9" l="1"/>
  <c r="F60" i="9"/>
  <c r="G56" i="7"/>
  <c r="F57" i="7" s="1"/>
  <c r="G60" i="9" l="1"/>
  <c r="F61" i="9"/>
  <c r="G57" i="7"/>
  <c r="F58" i="7" s="1"/>
  <c r="G61" i="9" l="1"/>
  <c r="F62" i="9"/>
  <c r="G58" i="7"/>
  <c r="F59" i="7" s="1"/>
  <c r="F63" i="9" l="1"/>
  <c r="G62" i="9"/>
  <c r="G59" i="7"/>
  <c r="F60" i="7" s="1"/>
  <c r="G63" i="9" l="1"/>
  <c r="F64" i="9"/>
  <c r="G60" i="7"/>
  <c r="F61" i="7" s="1"/>
  <c r="G64" i="9" l="1"/>
  <c r="F65" i="9"/>
  <c r="G61" i="7"/>
  <c r="F62" i="7" s="1"/>
  <c r="G65" i="9" l="1"/>
  <c r="F66" i="9"/>
  <c r="G62" i="7"/>
  <c r="F63" i="7" s="1"/>
  <c r="G66" i="9" l="1"/>
  <c r="F67" i="9"/>
  <c r="G63" i="7"/>
  <c r="F64" i="7" s="1"/>
  <c r="G67" i="9" l="1"/>
  <c r="F68" i="9"/>
  <c r="G64" i="7"/>
  <c r="F65" i="7" s="1"/>
  <c r="F69" i="9" l="1"/>
  <c r="G68" i="9"/>
  <c r="G65" i="7"/>
  <c r="F66" i="7" s="1"/>
  <c r="G69" i="9" l="1"/>
  <c r="F70" i="9"/>
  <c r="G66" i="7"/>
  <c r="F67" i="7" s="1"/>
  <c r="G70" i="9" l="1"/>
  <c r="F71" i="9"/>
  <c r="G67" i="7"/>
  <c r="F68" i="7" s="1"/>
  <c r="G71" i="9" l="1"/>
  <c r="F72" i="9"/>
  <c r="G68" i="7"/>
  <c r="F69" i="7" s="1"/>
  <c r="G72" i="9" l="1"/>
  <c r="F73" i="9"/>
  <c r="G69" i="7"/>
  <c r="F70" i="7" s="1"/>
  <c r="G73" i="9" l="1"/>
  <c r="F74" i="9"/>
  <c r="G70" i="7"/>
  <c r="F71" i="7" s="1"/>
  <c r="G74" i="9" l="1"/>
  <c r="F75" i="9"/>
  <c r="G71" i="7"/>
  <c r="F72" i="7" s="1"/>
  <c r="G75" i="9" l="1"/>
  <c r="F76" i="9"/>
  <c r="G72" i="7"/>
  <c r="F73" i="7" s="1"/>
  <c r="F77" i="9" l="1"/>
  <c r="G76" i="9"/>
  <c r="G73" i="7"/>
  <c r="F74" i="7" s="1"/>
  <c r="G77" i="9" l="1"/>
  <c r="F78" i="9"/>
  <c r="G74" i="7"/>
  <c r="F75" i="7" s="1"/>
  <c r="G78" i="9" l="1"/>
  <c r="F79" i="9"/>
  <c r="G75" i="7"/>
  <c r="F76" i="7" s="1"/>
  <c r="F80" i="9" l="1"/>
  <c r="G79" i="9"/>
  <c r="G76" i="7"/>
  <c r="F77" i="7" s="1"/>
  <c r="G80" i="9" l="1"/>
  <c r="F81" i="9"/>
  <c r="G77" i="7"/>
  <c r="F78" i="7" s="1"/>
  <c r="F82" i="9" l="1"/>
  <c r="G81" i="9"/>
  <c r="G78" i="7"/>
  <c r="F79" i="7" s="1"/>
  <c r="G82" i="9" l="1"/>
  <c r="F83" i="9"/>
  <c r="G79" i="7"/>
  <c r="F80" i="7" s="1"/>
  <c r="G83" i="9" l="1"/>
  <c r="F84" i="9"/>
  <c r="G80" i="7"/>
  <c r="F81" i="7" s="1"/>
  <c r="G84" i="9" l="1"/>
  <c r="F85" i="9"/>
  <c r="G81" i="7"/>
  <c r="F82" i="7" s="1"/>
  <c r="F86" i="9" l="1"/>
  <c r="G85" i="9"/>
  <c r="G82" i="7"/>
  <c r="F83" i="7" s="1"/>
  <c r="G86" i="9" l="1"/>
  <c r="F87" i="9"/>
  <c r="G83" i="7"/>
  <c r="F84" i="7" s="1"/>
  <c r="G87" i="9" l="1"/>
  <c r="F88" i="9"/>
  <c r="G84" i="7"/>
  <c r="F85" i="7" s="1"/>
  <c r="G88" i="9" l="1"/>
  <c r="F89" i="9"/>
  <c r="G85" i="7"/>
  <c r="F86" i="7" s="1"/>
  <c r="F90" i="9" l="1"/>
  <c r="G89" i="9"/>
  <c r="G86" i="7"/>
  <c r="F87" i="7" s="1"/>
  <c r="G90" i="9" l="1"/>
  <c r="F91" i="9"/>
  <c r="G87" i="7"/>
  <c r="F88" i="7" s="1"/>
  <c r="G91" i="9" l="1"/>
  <c r="F92" i="9"/>
  <c r="G88" i="7"/>
  <c r="F89" i="7" s="1"/>
  <c r="G92" i="9" l="1"/>
  <c r="F93" i="9"/>
  <c r="G89" i="7"/>
  <c r="F90" i="7" s="1"/>
  <c r="G93" i="9" l="1"/>
  <c r="F94" i="9"/>
  <c r="G90" i="7"/>
  <c r="F91" i="7" s="1"/>
  <c r="G94" i="9" l="1"/>
  <c r="F95" i="9"/>
  <c r="G91" i="7"/>
  <c r="F92" i="7" s="1"/>
  <c r="G95" i="9" l="1"/>
  <c r="F96" i="9"/>
  <c r="G92" i="7"/>
  <c r="F93" i="7" s="1"/>
  <c r="G96" i="9" l="1"/>
  <c r="F97" i="9"/>
  <c r="G93" i="7"/>
  <c r="F94" i="7" s="1"/>
  <c r="G97" i="9" l="1"/>
  <c r="F98" i="9"/>
  <c r="G94" i="7"/>
  <c r="F95" i="7" s="1"/>
  <c r="G98" i="9" l="1"/>
  <c r="F99" i="9"/>
  <c r="G95" i="7"/>
  <c r="F96" i="7" s="1"/>
  <c r="G99" i="9" l="1"/>
  <c r="F100" i="9"/>
  <c r="G96" i="7"/>
  <c r="F97" i="7" s="1"/>
  <c r="G100" i="9" l="1"/>
  <c r="F101" i="9"/>
  <c r="G97" i="7"/>
  <c r="F98" i="7" s="1"/>
  <c r="G101" i="9" l="1"/>
  <c r="F102" i="9"/>
  <c r="G98" i="7"/>
  <c r="F99" i="7" s="1"/>
  <c r="G102" i="9" l="1"/>
  <c r="F103" i="9"/>
  <c r="G99" i="7"/>
  <c r="F100" i="7" s="1"/>
  <c r="G103" i="9" l="1"/>
  <c r="F104" i="9"/>
  <c r="G100" i="7"/>
  <c r="F101" i="7" s="1"/>
  <c r="G104" i="9" l="1"/>
  <c r="F105" i="9"/>
  <c r="G101" i="7"/>
  <c r="F102" i="7" s="1"/>
  <c r="G105" i="9" l="1"/>
  <c r="F106" i="9"/>
  <c r="G102" i="7"/>
  <c r="F103" i="7" s="1"/>
  <c r="G106" i="9" l="1"/>
  <c r="F107" i="9"/>
  <c r="G103" i="7"/>
  <c r="F104" i="7" s="1"/>
  <c r="F108" i="9" l="1"/>
  <c r="G107" i="9"/>
  <c r="G104" i="7"/>
  <c r="F105" i="7" s="1"/>
  <c r="G108" i="9" l="1"/>
  <c r="F109" i="9"/>
  <c r="G105" i="7"/>
  <c r="F106" i="7" s="1"/>
  <c r="F110" i="9" l="1"/>
  <c r="G109" i="9"/>
  <c r="G106" i="7"/>
  <c r="F107" i="7" s="1"/>
  <c r="F111" i="9" l="1"/>
  <c r="G111" i="9" s="1"/>
  <c r="H5" i="9" s="1"/>
  <c r="G110" i="9"/>
  <c r="G107" i="7"/>
  <c r="F108" i="7" s="1"/>
  <c r="G108" i="7" l="1"/>
  <c r="F109" i="7" s="1"/>
  <c r="G109" i="7" l="1"/>
  <c r="F110" i="7" s="1"/>
  <c r="G110" i="7" l="1"/>
  <c r="F1" i="7"/>
  <c r="F2" i="7" s="1"/>
</calcChain>
</file>

<file path=xl/sharedStrings.xml><?xml version="1.0" encoding="utf-8"?>
<sst xmlns="http://schemas.openxmlformats.org/spreadsheetml/2006/main" count="80" uniqueCount="73">
  <si>
    <t>Interest Rate</t>
  </si>
  <si>
    <t>Volatility+</t>
  </si>
  <si>
    <t>Volatility-</t>
  </si>
  <si>
    <t>Asset Price</t>
  </si>
  <si>
    <t>Strike</t>
  </si>
  <si>
    <t>Option Type</t>
  </si>
  <si>
    <t>Call</t>
  </si>
  <si>
    <t>Maturity</t>
  </si>
  <si>
    <t>Bid</t>
  </si>
  <si>
    <t>Ask</t>
  </si>
  <si>
    <t>Quantity</t>
  </si>
  <si>
    <t>Asst Step</t>
  </si>
  <si>
    <t>payoff</t>
  </si>
  <si>
    <t>Worst Case</t>
  </si>
  <si>
    <t>Best Case</t>
  </si>
  <si>
    <t>Const Vol+</t>
  </si>
  <si>
    <t>Const Vol-</t>
  </si>
  <si>
    <t>BS</t>
  </si>
  <si>
    <t>Int</t>
  </si>
  <si>
    <t>Vol</t>
  </si>
  <si>
    <t>maturity</t>
  </si>
  <si>
    <t>BS Price</t>
  </si>
  <si>
    <t>Shares</t>
  </si>
  <si>
    <t>Delta</t>
  </si>
  <si>
    <t>Week</t>
  </si>
  <si>
    <t>Stock Price</t>
  </si>
  <si>
    <t>Shares Purchased</t>
  </si>
  <si>
    <t>Cost of Shares</t>
  </si>
  <si>
    <t>Cummulative Cost</t>
  </si>
  <si>
    <t>Interest cost</t>
  </si>
  <si>
    <t>Hedging Cost</t>
  </si>
  <si>
    <t>Overall Cost</t>
  </si>
  <si>
    <t>S</t>
  </si>
  <si>
    <t>Delta+</t>
  </si>
  <si>
    <t>Gamma</t>
  </si>
  <si>
    <t>Gamma+</t>
  </si>
  <si>
    <t>Asset</t>
    <phoneticPr fontId="2" type="noConversion"/>
  </si>
  <si>
    <t>Interest rate</t>
    <phoneticPr fontId="2" type="noConversion"/>
  </si>
  <si>
    <t>Strike</t>
    <phoneticPr fontId="2" type="noConversion"/>
  </si>
  <si>
    <t>Expiry</t>
    <phoneticPr fontId="2" type="noConversion"/>
  </si>
  <si>
    <t>Time Step</t>
    <phoneticPr fontId="2" type="noConversion"/>
  </si>
  <si>
    <t>Actual Vol</t>
    <phoneticPr fontId="2" type="noConversion"/>
  </si>
  <si>
    <t>Implied Vol</t>
    <phoneticPr fontId="2" type="noConversion"/>
  </si>
  <si>
    <t>Hedging Vol</t>
    <phoneticPr fontId="2" type="noConversion"/>
  </si>
  <si>
    <t>Time</t>
  </si>
  <si>
    <t>MtM P&amp;L</t>
    <phoneticPr fontId="2" type="noConversion"/>
  </si>
  <si>
    <t>Theoretical P&amp;L</t>
  </si>
  <si>
    <t>Actual P&amp;L</t>
  </si>
  <si>
    <t>These data have been generated by using different inputs to OneOptionPricing() function.</t>
  </si>
  <si>
    <t>Option True Value</t>
  </si>
  <si>
    <t>Option Market Price</t>
  </si>
  <si>
    <t>Va - Vi</t>
  </si>
  <si>
    <t>UV</t>
  </si>
  <si>
    <t>sigma =0.2</t>
  </si>
  <si>
    <t>sigma=0.3</t>
  </si>
  <si>
    <t>Used for Black-Scholes</t>
  </si>
  <si>
    <t>Asset Path (sigma_a)</t>
  </si>
  <si>
    <t>Option (sigma_i)</t>
  </si>
  <si>
    <t>Delta hedge Cashflow</t>
  </si>
  <si>
    <t>dDelta *S</t>
  </si>
  <si>
    <t>Vi</t>
  </si>
  <si>
    <t>D</t>
  </si>
  <si>
    <t>V - D*S</t>
  </si>
  <si>
    <t>Portfolio</t>
  </si>
  <si>
    <t>Cash</t>
  </si>
  <si>
    <t>using Va</t>
  </si>
  <si>
    <t>using Vi</t>
  </si>
  <si>
    <t>Ctrl+Q for CQF Macro</t>
  </si>
  <si>
    <t>Portfolio + Cash</t>
  </si>
  <si>
    <t>Delta (select)</t>
  </si>
  <si>
    <t>Hedge with actual or implied? SELECT</t>
  </si>
  <si>
    <t>Total Profit from selling V_i and delta-hedging at sigma_a</t>
  </si>
  <si>
    <t>Asset up = Gain on Delta // Asset down = Loss on Delta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</si>
</sst>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#,##0.0000"/>
  </numFmts>
  <fonts count="7" x14ac:knownFonts="1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name val="NSimSun"/>
      <family val="3"/>
      <charset val="134"/>
    </font>
    <font>
      <i/>
      <sz val="10"/>
      <name val="Arial"/>
      <family val="2"/>
    </font>
    <font>
      <b/>
      <sz val="10"/>
      <color rgb="FFC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9" fontId="1" fillId="4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center"/>
    </xf>
    <xf numFmtId="164" fontId="1" fillId="4" borderId="0" xfId="0" applyNumberFormat="1" applyFont="1" applyFill="1" applyAlignment="1">
      <alignment horizontal="center"/>
    </xf>
    <xf numFmtId="164" fontId="1" fillId="5" borderId="0" xfId="0" applyNumberFormat="1" applyFont="1" applyFill="1" applyAlignment="1">
      <alignment horizontal="center"/>
    </xf>
    <xf numFmtId="0" fontId="0" fillId="2" borderId="0" xfId="0" applyFill="1"/>
    <xf numFmtId="9" fontId="0" fillId="2" borderId="0" xfId="0" applyNumberFormat="1" applyFill="1"/>
    <xf numFmtId="0" fontId="0" fillId="4" borderId="0" xfId="0" applyFill="1"/>
    <xf numFmtId="0" fontId="0" fillId="3" borderId="0" xfId="0" applyFill="1"/>
    <xf numFmtId="164" fontId="0" fillId="2" borderId="0" xfId="0" applyNumberFormat="1" applyFill="1"/>
    <xf numFmtId="0" fontId="0" fillId="2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165" fontId="0" fillId="2" borderId="0" xfId="0" applyNumberFormat="1" applyFill="1" applyAlignment="1">
      <alignment horizontal="center"/>
    </xf>
    <xf numFmtId="165" fontId="0" fillId="2" borderId="0" xfId="0" applyNumberFormat="1" applyFill="1"/>
    <xf numFmtId="0" fontId="3" fillId="2" borderId="0" xfId="0" applyFont="1" applyFill="1" applyAlignment="1">
      <alignment horizontal="right"/>
    </xf>
    <xf numFmtId="0" fontId="3" fillId="2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2" borderId="0" xfId="0" applyFont="1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 wrapText="1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0" fillId="2" borderId="0" xfId="0" applyFill="1" applyAlignment="1">
      <alignment vertical="top" wrapText="1"/>
    </xf>
    <xf numFmtId="0" fontId="0" fillId="2" borderId="0" xfId="0" quotePrefix="1" applyFill="1" applyAlignment="1">
      <alignment horizontal="left" vertical="center"/>
    </xf>
    <xf numFmtId="9" fontId="3" fillId="7" borderId="0" xfId="0" applyNumberFormat="1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0" fillId="2" borderId="0" xfId="0" applyFill="1" applyAlignment="1">
      <alignment horizontal="left"/>
    </xf>
    <xf numFmtId="0" fontId="3" fillId="9" borderId="0" xfId="0" applyFont="1" applyFill="1" applyAlignment="1">
      <alignment horizontal="center"/>
    </xf>
    <xf numFmtId="9" fontId="3" fillId="9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left"/>
    </xf>
    <xf numFmtId="0" fontId="0" fillId="2" borderId="0" xfId="0" applyFill="1" applyAlignment="1">
      <alignment horizontal="left" vertical="top" wrapText="1"/>
    </xf>
    <xf numFmtId="9" fontId="6" fillId="2" borderId="0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hartsheet" Target="chartsheets/sheet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93224165444648"/>
          <c:y val="8.2539938429868648E-2"/>
          <c:w val="0.80857988496118838"/>
          <c:h val="0.8348363667656296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'Delta Hedging'!$L$9</c:f>
              <c:strCache>
                <c:ptCount val="1"/>
                <c:pt idx="0">
                  <c:v>Delta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'Delta Hedging'!$K$10:$K$109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'Delta Hedging'!$L$10:$L$109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1.1102230246251565E-16</c:v>
                </c:pt>
                <c:pt idx="9">
                  <c:v>6.9944050551384862E-15</c:v>
                </c:pt>
                <c:pt idx="10">
                  <c:v>2.6056934387952424E-13</c:v>
                </c:pt>
                <c:pt idx="11">
                  <c:v>5.8144600245668698E-12</c:v>
                </c:pt>
                <c:pt idx="12">
                  <c:v>8.588596500658241E-11</c:v>
                </c:pt>
                <c:pt idx="13">
                  <c:v>9.0364526972308568E-10</c:v>
                </c:pt>
                <c:pt idx="14">
                  <c:v>7.1656917066675874E-9</c:v>
                </c:pt>
                <c:pt idx="15">
                  <c:v>4.4766706341903273E-8</c:v>
                </c:pt>
                <c:pt idx="16">
                  <c:v>2.2826822931865109E-7</c:v>
                </c:pt>
                <c:pt idx="17">
                  <c:v>9.7756866723752722E-7</c:v>
                </c:pt>
                <c:pt idx="18">
                  <c:v>3.5993589022620398E-6</c:v>
                </c:pt>
                <c:pt idx="19">
                  <c:v>1.1616875018050088E-5</c:v>
                </c:pt>
                <c:pt idx="20">
                  <c:v>3.3401498726104428E-5</c:v>
                </c:pt>
                <c:pt idx="21">
                  <c:v>8.6731405659179472E-5</c:v>
                </c:pt>
                <c:pt idx="22">
                  <c:v>2.0575501124930895E-4</c:v>
                </c:pt>
                <c:pt idx="23">
                  <c:v>4.5039289258463899E-4</c:v>
                </c:pt>
                <c:pt idx="24">
                  <c:v>9.1750018100344999E-4</c:v>
                </c:pt>
                <c:pt idx="25">
                  <c:v>1.7522904540790973E-3</c:v>
                </c:pt>
                <c:pt idx="26">
                  <c:v>3.1578407234673644E-3</c:v>
                </c:pt>
                <c:pt idx="27">
                  <c:v>5.4002072468367635E-3</c:v>
                </c:pt>
                <c:pt idx="28">
                  <c:v>8.8069426337410439E-3</c:v>
                </c:pt>
                <c:pt idx="29">
                  <c:v>1.3757619801480159E-2</c:v>
                </c:pt>
                <c:pt idx="30">
                  <c:v>2.0666181924518967E-2</c:v>
                </c:pt>
                <c:pt idx="31">
                  <c:v>2.9956284863762228E-2</c:v>
                </c:pt>
                <c:pt idx="32">
                  <c:v>4.2031987244690372E-2</c:v>
                </c:pt>
                <c:pt idx="33">
                  <c:v>5.7246933589974125E-2</c:v>
                </c:pt>
                <c:pt idx="34">
                  <c:v>7.5875434894856153E-2</c:v>
                </c:pt>
                <c:pt idx="35">
                  <c:v>9.8088570194439617E-2</c:v>
                </c:pt>
                <c:pt idx="36">
                  <c:v>0.12393771074329896</c:v>
                </c:pt>
                <c:pt idx="37">
                  <c:v>0.15334687241750367</c:v>
                </c:pt>
                <c:pt idx="38">
                  <c:v>0.18611422104081587</c:v>
                </c:pt>
                <c:pt idx="39">
                  <c:v>0.22192206043069429</c:v>
                </c:pt>
                <c:pt idx="40">
                  <c:v>0.26035384951634732</c:v>
                </c:pt>
                <c:pt idx="41">
                  <c:v>0.30091629129827779</c:v>
                </c:pt>
                <c:pt idx="42">
                  <c:v>0.34306432596873238</c:v>
                </c:pt>
                <c:pt idx="43">
                  <c:v>0.38622691254044184</c:v>
                </c:pt>
                <c:pt idx="44">
                  <c:v>0.42983173886313519</c:v>
                </c:pt>
                <c:pt idx="45">
                  <c:v>0.47332738751259085</c:v>
                </c:pt>
                <c:pt idx="46">
                  <c:v>0.51620182767791745</c:v>
                </c:pt>
                <c:pt idx="47">
                  <c:v>0.55799591741062171</c:v>
                </c:pt>
                <c:pt idx="48">
                  <c:v>0.5983143194965993</c:v>
                </c:pt>
                <c:pt idx="49">
                  <c:v>0.63683058735763587</c:v>
                </c:pt>
                <c:pt idx="50">
                  <c:v>0.67328888605899173</c:v>
                </c:pt>
                <c:pt idx="51">
                  <c:v>0.70750265336774365</c:v>
                </c:pt>
                <c:pt idx="52">
                  <c:v>0.73935063491444797</c:v>
                </c:pt>
                <c:pt idx="53">
                  <c:v>0.7687710039452913</c:v>
                </c:pt>
                <c:pt idx="54">
                  <c:v>0.79575422786143846</c:v>
                </c:pt>
                <c:pt idx="55">
                  <c:v>0.82033526576871219</c:v>
                </c:pt>
                <c:pt idx="56">
                  <c:v>0.84258558608791256</c:v>
                </c:pt>
                <c:pt idx="57">
                  <c:v>0.8626053916652181</c:v>
                </c:pt>
                <c:pt idx="58">
                  <c:v>0.88051634024071024</c:v>
                </c:pt>
                <c:pt idx="59">
                  <c:v>0.89645495662543195</c:v>
                </c:pt>
                <c:pt idx="60">
                  <c:v>0.91056685329222997</c:v>
                </c:pt>
                <c:pt idx="61">
                  <c:v>0.92300181017619043</c:v>
                </c:pt>
                <c:pt idx="62">
                  <c:v>0.93390971267944356</c:v>
                </c:pt>
                <c:pt idx="63">
                  <c:v>0.9434373084748382</c:v>
                </c:pt>
                <c:pt idx="64">
                  <c:v>0.95172571729654742</c:v>
                </c:pt>
                <c:pt idx="65">
                  <c:v>0.95890861170526231</c:v>
                </c:pt>
                <c:pt idx="66">
                  <c:v>0.96511097889970898</c:v>
                </c:pt>
                <c:pt idx="67">
                  <c:v>0.97044837213738067</c:v>
                </c:pt>
                <c:pt idx="68">
                  <c:v>0.97502656350895545</c:v>
                </c:pt>
                <c:pt idx="69">
                  <c:v>0.97894151619336478</c:v>
                </c:pt>
                <c:pt idx="70">
                  <c:v>0.98227960266930481</c:v>
                </c:pt>
                <c:pt idx="71">
                  <c:v>0.9851180046947301</c:v>
                </c:pt>
                <c:pt idx="72">
                  <c:v>0.98752524044633849</c:v>
                </c:pt>
                <c:pt idx="73">
                  <c:v>0.98956177350280117</c:v>
                </c:pt>
                <c:pt idx="74">
                  <c:v>0.99128066700057682</c:v>
                </c:pt>
                <c:pt idx="75">
                  <c:v>0.99272825407315402</c:v>
                </c:pt>
                <c:pt idx="76">
                  <c:v>0.99394480249669048</c:v>
                </c:pt>
                <c:pt idx="77">
                  <c:v>0.99496515728161861</c:v>
                </c:pt>
                <c:pt idx="78">
                  <c:v>0.99581934980226539</c:v>
                </c:pt>
                <c:pt idx="79">
                  <c:v>0.99653316601371378</c:v>
                </c:pt>
                <c:pt idx="80">
                  <c:v>0.99712866945773793</c:v>
                </c:pt>
                <c:pt idx="81">
                  <c:v>0.99762467720872328</c:v>
                </c:pt>
                <c:pt idx="82">
                  <c:v>0.99803718875890846</c:v>
                </c:pt>
                <c:pt idx="83">
                  <c:v>0.99837976918903393</c:v>
                </c:pt>
                <c:pt idx="84">
                  <c:v>0.99866388890691415</c:v>
                </c:pt>
                <c:pt idx="85">
                  <c:v>0.99889922284430355</c:v>
                </c:pt>
                <c:pt idx="86">
                  <c:v>0.99909391235287404</c:v>
                </c:pt>
                <c:pt idx="87">
                  <c:v>0.99925479319379595</c:v>
                </c:pt>
                <c:pt idx="88">
                  <c:v>0.99938759302286184</c:v>
                </c:pt>
                <c:pt idx="89">
                  <c:v>0.99949710167566075</c:v>
                </c:pt>
                <c:pt idx="90">
                  <c:v>0.99958731738817463</c:v>
                </c:pt>
                <c:pt idx="91">
                  <c:v>0.99966157187339277</c:v>
                </c:pt>
                <c:pt idx="92">
                  <c:v>0.99972263693422225</c:v>
                </c:pt>
                <c:pt idx="93">
                  <c:v>0.99977281504217319</c:v>
                </c:pt>
                <c:pt idx="94">
                  <c:v>0.99981401606103859</c:v>
                </c:pt>
                <c:pt idx="95">
                  <c:v>0.99984782205280087</c:v>
                </c:pt>
                <c:pt idx="96">
                  <c:v>0.99987554187444805</c:v>
                </c:pt>
                <c:pt idx="97">
                  <c:v>0.9998982570624535</c:v>
                </c:pt>
                <c:pt idx="98">
                  <c:v>0.99991686030803806</c:v>
                </c:pt>
                <c:pt idx="99">
                  <c:v>0.99993208765156827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'Delta Hedging'!$M$9</c:f>
              <c:strCache>
                <c:ptCount val="1"/>
                <c:pt idx="0">
                  <c:v>Delta+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'Delta Hedging'!$K$10:$K$109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'Delta Hedging'!$M$10:$M$109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2.2204460492503131E-16</c:v>
                </c:pt>
                <c:pt idx="4">
                  <c:v>9.3591800975900696E-14</c:v>
                </c:pt>
                <c:pt idx="5">
                  <c:v>7.3894224073001169E-12</c:v>
                </c:pt>
                <c:pt idx="6">
                  <c:v>2.2389456955096421E-10</c:v>
                </c:pt>
                <c:pt idx="7">
                  <c:v>3.4896862066702283E-9</c:v>
                </c:pt>
                <c:pt idx="8">
                  <c:v>3.3521387998725061E-8</c:v>
                </c:pt>
                <c:pt idx="9">
                  <c:v>2.234516504051598E-7</c:v>
                </c:pt>
                <c:pt idx="10">
                  <c:v>1.1215899876626523E-6</c:v>
                </c:pt>
                <c:pt idx="11">
                  <c:v>4.4936909499027067E-6</c:v>
                </c:pt>
                <c:pt idx="12">
                  <c:v>1.5001631506583735E-5</c:v>
                </c:pt>
                <c:pt idx="13">
                  <c:v>4.3104020269302268E-5</c:v>
                </c:pt>
                <c:pt idx="14">
                  <c:v>1.0929405628967714E-4</c:v>
                </c:pt>
                <c:pt idx="15">
                  <c:v>2.494013148720553E-4</c:v>
                </c:pt>
                <c:pt idx="16">
                  <c:v>5.2026358292245334E-4</c:v>
                </c:pt>
                <c:pt idx="17">
                  <c:v>1.0047749110009274E-3</c:v>
                </c:pt>
                <c:pt idx="18">
                  <c:v>1.8152445257301197E-3</c:v>
                </c:pt>
                <c:pt idx="19">
                  <c:v>3.0941824762170667E-3</c:v>
                </c:pt>
                <c:pt idx="20">
                  <c:v>5.0120062102496643E-3</c:v>
                </c:pt>
                <c:pt idx="21">
                  <c:v>7.7616345091032768E-3</c:v>
                </c:pt>
                <c:pt idx="22">
                  <c:v>1.1550390728023219E-2</c:v>
                </c:pt>
                <c:pt idx="23">
                  <c:v>1.6589989234640945E-2</c:v>
                </c:pt>
                <c:pt idx="24">
                  <c:v>2.3085579590655603E-2</c:v>
                </c:pt>
                <c:pt idx="25">
                  <c:v>3.1224864350681503E-2</c:v>
                </c:pt>
                <c:pt idx="26">
                  <c:v>4.1168210891527557E-2</c:v>
                </c:pt>
                <c:pt idx="27">
                  <c:v>5.3040485573899065E-2</c:v>
                </c:pt>
                <c:pt idx="28">
                  <c:v>6.692509517403511E-2</c:v>
                </c:pt>
                <c:pt idx="29">
                  <c:v>8.2860467317540709E-2</c:v>
                </c:pt>
                <c:pt idx="30">
                  <c:v>0.10083897062719083</c:v>
                </c:pt>
                <c:pt idx="31">
                  <c:v>0.12080808713942337</c:v>
                </c:pt>
                <c:pt idx="32">
                  <c:v>0.14267351412311546</c:v>
                </c:pt>
                <c:pt idx="33">
                  <c:v>0.16630379081927071</c:v>
                </c:pt>
                <c:pt idx="34">
                  <c:v>0.1915360126665131</c:v>
                </c:pt>
                <c:pt idx="35">
                  <c:v>0.21818220247425313</c:v>
                </c:pt>
                <c:pt idx="36">
                  <c:v>0.246035944427485</c:v>
                </c:pt>
                <c:pt idx="37">
                  <c:v>0.2748789425132786</c:v>
                </c:pt>
                <c:pt idx="38">
                  <c:v>0.30448723083305262</c:v>
                </c:pt>
                <c:pt idx="39">
                  <c:v>0.3346368318723546</c:v>
                </c:pt>
                <c:pt idx="40">
                  <c:v>0.36510872457301624</c:v>
                </c:pt>
                <c:pt idx="41">
                  <c:v>0.39569304321694776</c:v>
                </c:pt>
                <c:pt idx="42">
                  <c:v>0.42619247847980102</c:v>
                </c:pt>
                <c:pt idx="43">
                  <c:v>0.45642489260709718</c:v>
                </c:pt>
                <c:pt idx="44">
                  <c:v>0.4862251915179322</c:v>
                </c:pt>
                <c:pt idx="45">
                  <c:v>0.51544642111570527</c:v>
                </c:pt>
                <c:pt idx="46">
                  <c:v>0.54396004665179987</c:v>
                </c:pt>
                <c:pt idx="47">
                  <c:v>0.57165660253037676</c:v>
                </c:pt>
                <c:pt idx="48">
                  <c:v>0.59844498098435472</c:v>
                </c:pt>
                <c:pt idx="49">
                  <c:v>0.62425166000152932</c:v>
                </c:pt>
                <c:pt idx="50">
                  <c:v>0.64901972646669404</c:v>
                </c:pt>
                <c:pt idx="51">
                  <c:v>0.67270769548768217</c:v>
                </c:pt>
                <c:pt idx="52">
                  <c:v>0.69528819482473025</c:v>
                </c:pt>
                <c:pt idx="53">
                  <c:v>0.71674657279912957</c:v>
                </c:pt>
                <c:pt idx="54">
                  <c:v>0.73707947803642804</c:v>
                </c:pt>
                <c:pt idx="55">
                  <c:v>0.75629345011225235</c:v>
                </c:pt>
                <c:pt idx="56">
                  <c:v>0.77440355175508691</c:v>
                </c:pt>
                <c:pt idx="57">
                  <c:v>0.79143206579722536</c:v>
                </c:pt>
                <c:pt idx="58">
                  <c:v>0.80740727357732278</c:v>
                </c:pt>
                <c:pt idx="59">
                  <c:v>0.82236232596905023</c:v>
                </c:pt>
                <c:pt idx="60">
                  <c:v>0.83633421359322602</c:v>
                </c:pt>
                <c:pt idx="61">
                  <c:v>0.84936283899739062</c:v>
                </c:pt>
                <c:pt idx="62">
                  <c:v>0.86149019057601073</c:v>
                </c:pt>
                <c:pt idx="63">
                  <c:v>0.87275961566885574</c:v>
                </c:pt>
                <c:pt idx="64">
                  <c:v>0.88321518852569547</c:v>
                </c:pt>
                <c:pt idx="65">
                  <c:v>0.89290116757583726</c:v>
                </c:pt>
                <c:pt idx="66">
                  <c:v>0.90186153560969262</c:v>
                </c:pt>
                <c:pt idx="67">
                  <c:v>0.91013961599176707</c:v>
                </c:pt>
                <c:pt idx="68">
                  <c:v>0.917777757813105</c:v>
                </c:pt>
                <c:pt idx="69">
                  <c:v>0.9248170828972142</c:v>
                </c:pt>
                <c:pt idx="70">
                  <c:v>0.93129728774577181</c:v>
                </c:pt>
                <c:pt idx="71">
                  <c:v>0.93725649380552201</c:v>
                </c:pt>
                <c:pt idx="72">
                  <c:v>0.94273113981939283</c:v>
                </c:pt>
                <c:pt idx="73">
                  <c:v>0.9477559104630976</c:v>
                </c:pt>
                <c:pt idx="74">
                  <c:v>0.95236369593919434</c:v>
                </c:pt>
                <c:pt idx="75">
                  <c:v>0.95658557768462982</c:v>
                </c:pt>
                <c:pt idx="76">
                  <c:v>0.96045083583036961</c:v>
                </c:pt>
                <c:pt idx="77">
                  <c:v>0.96398697452164561</c:v>
                </c:pt>
                <c:pt idx="78">
                  <c:v>0.96721976165653001</c:v>
                </c:pt>
                <c:pt idx="79">
                  <c:v>0.97017328002335257</c:v>
                </c:pt>
                <c:pt idx="80">
                  <c:v>0.97286998721035067</c:v>
                </c:pt>
                <c:pt idx="81">
                  <c:v>0.97533078202190537</c:v>
                </c:pt>
                <c:pt idx="82">
                  <c:v>0.9775750754640824</c:v>
                </c:pt>
                <c:pt idx="83">
                  <c:v>0.97962086465821663</c:v>
                </c:pt>
                <c:pt idx="84">
                  <c:v>0.98148480830593499</c:v>
                </c:pt>
                <c:pt idx="85">
                  <c:v>0.98318230256377881</c:v>
                </c:pt>
                <c:pt idx="86">
                  <c:v>0.9847275563923007</c:v>
                </c:pt>
                <c:pt idx="87">
                  <c:v>0.98613366562520077</c:v>
                </c:pt>
                <c:pt idx="88">
                  <c:v>0.98741268516087599</c:v>
                </c:pt>
                <c:pt idx="89">
                  <c:v>0.98857569881386931</c:v>
                </c:pt>
                <c:pt idx="90">
                  <c:v>0.98963288647924608</c:v>
                </c:pt>
                <c:pt idx="91">
                  <c:v>0.99059358836096345</c:v>
                </c:pt>
                <c:pt idx="92">
                  <c:v>0.99146636609780436</c:v>
                </c:pt>
                <c:pt idx="93">
                  <c:v>0.99225906068922631</c:v>
                </c:pt>
                <c:pt idx="94">
                  <c:v>0.99297884718024987</c:v>
                </c:pt>
                <c:pt idx="95">
                  <c:v>0.99363228611081345</c:v>
                </c:pt>
                <c:pt idx="96">
                  <c:v>0.99422537177226222</c:v>
                </c:pt>
                <c:pt idx="97">
                  <c:v>0.99476357734309606</c:v>
                </c:pt>
                <c:pt idx="98">
                  <c:v>0.99525189699889527</c:v>
                </c:pt>
                <c:pt idx="99">
                  <c:v>0.99569488510848791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418064"/>
        <c:axId val="199470312"/>
      </c:scatterChart>
      <c:valAx>
        <c:axId val="199418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Asset</a:t>
                </a:r>
              </a:p>
            </c:rich>
          </c:tx>
          <c:layout>
            <c:manualLayout>
              <c:xMode val="edge"/>
              <c:yMode val="edge"/>
              <c:x val="0.45372163585934738"/>
              <c:y val="0.918711931500365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470312"/>
        <c:crosses val="autoZero"/>
        <c:crossBetween val="midCat"/>
      </c:valAx>
      <c:valAx>
        <c:axId val="1994703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Delta</a:t>
                </a:r>
              </a:p>
            </c:rich>
          </c:tx>
          <c:layout>
            <c:manualLayout>
              <c:xMode val="edge"/>
              <c:yMode val="edge"/>
              <c:x val="2.5848178552149069E-2"/>
              <c:y val="0.406350501269308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4180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734321773608086"/>
          <c:y val="0.61887560776214445"/>
          <c:w val="0.11954784907205751"/>
          <c:h val="0.1365084118583538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5493838895458"/>
          <c:y val="8.2539938429868648E-2"/>
          <c:w val="0.80432561719258777"/>
          <c:h val="0.8000023330417031"/>
        </c:manualLayout>
      </c:layout>
      <c:scatterChart>
        <c:scatterStyle val="smoothMarker"/>
        <c:varyColors val="0"/>
        <c:ser>
          <c:idx val="2"/>
          <c:order val="0"/>
          <c:tx>
            <c:strRef>
              <c:f>'Delta Hedging'!$N$9</c:f>
              <c:strCache>
                <c:ptCount val="1"/>
                <c:pt idx="0">
                  <c:v>Gamma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'Delta Hedging'!$K$10:$K$109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'Delta Hedging'!$N$10:$N$109</c:f>
              <c:numCache>
                <c:formatCode>General</c:formatCode>
                <c:ptCount val="100"/>
                <c:pt idx="0">
                  <c:v>1.4667471845310054E-80</c:v>
                </c:pt>
                <c:pt idx="1">
                  <c:v>1.4832123218170342E-54</c:v>
                </c:pt>
                <c:pt idx="2">
                  <c:v>9.2228259651448531E-42</c:v>
                </c:pt>
                <c:pt idx="3">
                  <c:v>9.1116927607545552E-34</c:v>
                </c:pt>
                <c:pt idx="4">
                  <c:v>3.4833400254312645E-28</c:v>
                </c:pt>
                <c:pt idx="5">
                  <c:v>5.0330444123797472E-24</c:v>
                </c:pt>
                <c:pt idx="6">
                  <c:v>8.65663985954206E-21</c:v>
                </c:pt>
                <c:pt idx="7">
                  <c:v>3.4004977419795095E-18</c:v>
                </c:pt>
                <c:pt idx="8">
                  <c:v>4.5613240132109011E-16</c:v>
                </c:pt>
                <c:pt idx="9">
                  <c:v>2.7202995928914712E-14</c:v>
                </c:pt>
                <c:pt idx="10">
                  <c:v>8.6486130928556197E-13</c:v>
                </c:pt>
                <c:pt idx="11">
                  <c:v>1.6685729273419633E-11</c:v>
                </c:pt>
                <c:pt idx="12">
                  <c:v>2.1488593814393596E-10</c:v>
                </c:pt>
                <c:pt idx="13">
                  <c:v>1.9850174008860989E-9</c:v>
                </c:pt>
                <c:pt idx="14">
                  <c:v>1.390204583551274E-8</c:v>
                </c:pt>
                <c:pt idx="15">
                  <c:v>7.7096310557461305E-8</c:v>
                </c:pt>
                <c:pt idx="16">
                  <c:v>3.5049281945268328E-7</c:v>
                </c:pt>
                <c:pt idx="17">
                  <c:v>1.34331034764778E-6</c:v>
                </c:pt>
                <c:pt idx="18">
                  <c:v>4.4409015785126232E-6</c:v>
                </c:pt>
                <c:pt idx="19">
                  <c:v>1.2905810501999296E-5</c:v>
                </c:pt>
                <c:pt idx="20">
                  <c:v>3.3495063319750875E-5</c:v>
                </c:pt>
                <c:pt idx="21">
                  <c:v>7.8674581416689126E-5</c:v>
                </c:pt>
                <c:pt idx="22">
                  <c:v>1.6914039334450795E-4</c:v>
                </c:pt>
                <c:pt idx="23">
                  <c:v>3.3605263422237626E-4</c:v>
                </c:pt>
                <c:pt idx="24">
                  <c:v>6.2217973427643831E-4</c:v>
                </c:pt>
                <c:pt idx="25">
                  <c:v>1.0811568626820291E-3</c:v>
                </c:pt>
                <c:pt idx="26">
                  <c:v>1.7743365253266323E-3</c:v>
                </c:pt>
                <c:pt idx="27">
                  <c:v>2.7652026689772833E-3</c:v>
                </c:pt>
                <c:pt idx="28">
                  <c:v>4.1118999555002618E-3</c:v>
                </c:pt>
                <c:pt idx="29">
                  <c:v>5.8589294721694734E-3</c:v>
                </c:pt>
                <c:pt idx="30">
                  <c:v>8.0293395488766715E-3</c:v>
                </c:pt>
                <c:pt idx="31">
                  <c:v>1.0618725178134697E-2</c:v>
                </c:pt>
                <c:pt idx="32">
                  <c:v>1.3592057028131078E-2</c:v>
                </c:pt>
                <c:pt idx="33">
                  <c:v>1.6883876608794059E-2</c:v>
                </c:pt>
                <c:pt idx="34">
                  <c:v>2.040183936471953E-2</c:v>
                </c:pt>
                <c:pt idx="35">
                  <c:v>2.4033082538353765E-2</c:v>
                </c:pt>
                <c:pt idx="36">
                  <c:v>2.7652529461510051E-2</c:v>
                </c:pt>
                <c:pt idx="37">
                  <c:v>3.1132061623085822E-2</c:v>
                </c:pt>
                <c:pt idx="38">
                  <c:v>3.4349494797974216E-2</c:v>
                </c:pt>
                <c:pt idx="39">
                  <c:v>3.7196451660627274E-2</c:v>
                </c:pt>
                <c:pt idx="40">
                  <c:v>3.9584477310245746E-2</c:v>
                </c:pt>
                <c:pt idx="41">
                  <c:v>4.1449038340840128E-2</c:v>
                </c:pt>
                <c:pt idx="42">
                  <c:v>4.275133005232911E-2</c:v>
                </c:pt>
                <c:pt idx="43">
                  <c:v>4.3478053653402141E-2</c:v>
                </c:pt>
                <c:pt idx="44">
                  <c:v>4.3639495531524949E-2</c:v>
                </c:pt>
                <c:pt idx="45">
                  <c:v>4.3266338335662603E-2</c:v>
                </c:pt>
                <c:pt idx="46">
                  <c:v>4.240566457245027E-2</c:v>
                </c:pt>
                <c:pt idx="47">
                  <c:v>4.1116590661686263E-2</c:v>
                </c:pt>
                <c:pt idx="48">
                  <c:v>3.9465909125751292E-2</c:v>
                </c:pt>
                <c:pt idx="49">
                  <c:v>3.7524035011739301E-2</c:v>
                </c:pt>
                <c:pt idx="50">
                  <c:v>3.5361463859360606E-2</c:v>
                </c:pt>
                <c:pt idx="51">
                  <c:v>3.3045863376850622E-2</c:v>
                </c:pt>
                <c:pt idx="52">
                  <c:v>3.0639846752115157E-2</c:v>
                </c:pt>
                <c:pt idx="53">
                  <c:v>2.8199416183829578E-2</c:v>
                </c:pt>
                <c:pt idx="54">
                  <c:v>2.5773022031991898E-2</c:v>
                </c:pt>
                <c:pt idx="55">
                  <c:v>2.3401155238239373E-2</c:v>
                </c:pt>
                <c:pt idx="56">
                  <c:v>2.1116376361592689E-2</c:v>
                </c:pt>
                <c:pt idx="57">
                  <c:v>1.8943681071811869E-2</c:v>
                </c:pt>
                <c:pt idx="58">
                  <c:v>1.6901106424516636E-2</c:v>
                </c:pt>
                <c:pt idx="59">
                  <c:v>1.5000492055017033E-2</c:v>
                </c:pt>
                <c:pt idx="60">
                  <c:v>1.3248323279312224E-2</c:v>
                </c:pt>
                <c:pt idx="61">
                  <c:v>1.1646597145816015E-2</c:v>
                </c:pt>
                <c:pt idx="62">
                  <c:v>1.0193666377879914E-2</c:v>
                </c:pt>
                <c:pt idx="63">
                  <c:v>8.8850289601689388E-3</c:v>
                </c:pt>
                <c:pt idx="64">
                  <c:v>7.7140422988419321E-3</c:v>
                </c:pt>
                <c:pt idx="65">
                  <c:v>6.6725501693047527E-3</c:v>
                </c:pt>
                <c:pt idx="66">
                  <c:v>5.75141801782038E-3</c:v>
                </c:pt>
                <c:pt idx="67">
                  <c:v>4.9409777156625805E-3</c:v>
                </c:pt>
                <c:pt idx="68">
                  <c:v>4.2313867792974202E-3</c:v>
                </c:pt>
                <c:pt idx="69">
                  <c:v>3.6129096155320395E-3</c:v>
                </c:pt>
                <c:pt idx="70">
                  <c:v>3.0761297872177584E-3</c:v>
                </c:pt>
                <c:pt idx="71">
                  <c:v>2.6121028728848818E-3</c:v>
                </c:pt>
                <c:pt idx="72">
                  <c:v>2.2124594378876883E-3</c:v>
                </c:pt>
                <c:pt idx="73">
                  <c:v>1.869467138490971E-3</c:v>
                </c:pt>
                <c:pt idx="74">
                  <c:v>1.576060202639543E-3</c:v>
                </c:pt>
                <c:pt idx="75">
                  <c:v>1.3258435972158574E-3</c:v>
                </c:pt>
                <c:pt idx="76">
                  <c:v>1.1130781961949539E-3</c:v>
                </c:pt>
                <c:pt idx="77">
                  <c:v>9.3265227562028567E-4</c:v>
                </c:pt>
                <c:pt idx="78">
                  <c:v>7.8004372619052201E-4</c:v>
                </c:pt>
                <c:pt idx="79">
                  <c:v>6.5127652139327339E-4</c:v>
                </c:pt>
                <c:pt idx="80">
                  <c:v>5.4287422400655402E-4</c:v>
                </c:pt>
                <c:pt idx="81">
                  <c:v>4.5181266192973097E-4</c:v>
                </c:pt>
                <c:pt idx="82">
                  <c:v>3.7547335422474912E-4</c:v>
                </c:pt>
                <c:pt idx="83">
                  <c:v>3.1159881384391349E-4</c:v>
                </c:pt>
                <c:pt idx="84">
                  <c:v>2.5825048591273308E-4</c:v>
                </c:pt>
                <c:pt idx="85">
                  <c:v>2.1376978934971536E-4</c:v>
                </c:pt>
                <c:pt idx="86">
                  <c:v>1.7674250436323569E-4</c:v>
                </c:pt>
                <c:pt idx="87">
                  <c:v>1.4596657857349251E-4</c:v>
                </c:pt>
                <c:pt idx="88">
                  <c:v>1.2042330048621026E-4</c:v>
                </c:pt>
                <c:pt idx="89">
                  <c:v>9.9251702081335278E-5</c:v>
                </c:pt>
                <c:pt idx="90">
                  <c:v>8.1725994741375216E-5</c:v>
                </c:pt>
                <c:pt idx="91">
                  <c:v>6.7235808094548378E-5</c:v>
                </c:pt>
                <c:pt idx="92">
                  <c:v>5.5268984104730974E-5</c:v>
                </c:pt>
                <c:pt idx="93">
                  <c:v>4.5396674388790963E-5</c:v>
                </c:pt>
                <c:pt idx="94">
                  <c:v>3.7260493631743695E-5</c:v>
                </c:pt>
                <c:pt idx="95">
                  <c:v>3.0561493201614919E-5</c:v>
                </c:pt>
                <c:pt idx="96">
                  <c:v>2.5050734378438007E-5</c:v>
                </c:pt>
                <c:pt idx="97">
                  <c:v>2.0521258278423746E-5</c:v>
                </c:pt>
                <c:pt idx="98">
                  <c:v>1.6801268285649573E-5</c:v>
                </c:pt>
                <c:pt idx="99">
                  <c:v>1.3748359663241073E-5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'Delta Hedging'!$O$9</c:f>
              <c:strCache>
                <c:ptCount val="1"/>
                <c:pt idx="0">
                  <c:v>Gamma+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'Delta Hedging'!$K$10:$K$109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'Delta Hedging'!$O$10:$O$109</c:f>
              <c:numCache>
                <c:formatCode>General</c:formatCode>
                <c:ptCount val="100"/>
                <c:pt idx="0">
                  <c:v>9.3513094644738522E-36</c:v>
                </c:pt>
                <c:pt idx="1">
                  <c:v>1.8955024462412303E-24</c:v>
                </c:pt>
                <c:pt idx="2">
                  <c:v>6.5622542169361188E-19</c:v>
                </c:pt>
                <c:pt idx="3">
                  <c:v>1.845665593182787E-15</c:v>
                </c:pt>
                <c:pt idx="4">
                  <c:v>4.63937969853768E-13</c:v>
                </c:pt>
                <c:pt idx="5">
                  <c:v>2.8137859311844562E-11</c:v>
                </c:pt>
                <c:pt idx="6">
                  <c:v>6.7843824732748464E-10</c:v>
                </c:pt>
                <c:pt idx="7">
                  <c:v>8.6329341907822425E-9</c:v>
                </c:pt>
                <c:pt idx="8">
                  <c:v>6.9041212429100357E-8</c:v>
                </c:pt>
                <c:pt idx="9">
                  <c:v>3.8913451304134903E-7</c:v>
                </c:pt>
                <c:pt idx="10">
                  <c:v>1.6722759725207615E-6</c:v>
                </c:pt>
                <c:pt idx="11">
                  <c:v>5.7956987588703274E-6</c:v>
                </c:pt>
                <c:pt idx="12">
                  <c:v>1.6881449720864291E-5</c:v>
                </c:pt>
                <c:pt idx="13">
                  <c:v>4.2630979673924602E-5</c:v>
                </c:pt>
                <c:pt idx="14">
                  <c:v>9.5598537451950689E-5</c:v>
                </c:pt>
                <c:pt idx="15">
                  <c:v>1.939726912886698E-4</c:v>
                </c:pt>
                <c:pt idx="16">
                  <c:v>3.6148202896418656E-4</c:v>
                </c:pt>
                <c:pt idx="17">
                  <c:v>6.2622802028030841E-4</c:v>
                </c:pt>
                <c:pt idx="18">
                  <c:v>1.0185036734732841E-3</c:v>
                </c:pt>
                <c:pt idx="19">
                  <c:v>1.5678926749849488E-3</c:v>
                </c:pt>
                <c:pt idx="20">
                  <c:v>2.3000934397965568E-3</c:v>
                </c:pt>
                <c:pt idx="21">
                  <c:v>3.233948974311905E-3</c:v>
                </c:pt>
                <c:pt idx="22">
                  <c:v>4.3790973356245466E-3</c:v>
                </c:pt>
                <c:pt idx="23">
                  <c:v>5.7345230361860308E-3</c:v>
                </c:pt>
                <c:pt idx="24">
                  <c:v>7.2881284996416827E-3</c:v>
                </c:pt>
                <c:pt idx="25">
                  <c:v>9.017292783190984E-3</c:v>
                </c:pt>
                <c:pt idx="26">
                  <c:v>1.089026645103669E-2</c:v>
                </c:pt>
                <c:pt idx="27">
                  <c:v>1.286817770081225E-2</c:v>
                </c:pt>
                <c:pt idx="28">
                  <c:v>1.4907395586812353E-2</c:v>
                </c:pt>
                <c:pt idx="29">
                  <c:v>1.6962004131677189E-2</c:v>
                </c:pt>
                <c:pt idx="30">
                  <c:v>1.8986175427204509E-2</c:v>
                </c:pt>
                <c:pt idx="31">
                  <c:v>2.0936279129430739E-2</c:v>
                </c:pt>
                <c:pt idx="32">
                  <c:v>2.277262012491367E-2</c:v>
                </c:pt>
                <c:pt idx="33">
                  <c:v>2.4460748069517549E-2</c:v>
                </c:pt>
                <c:pt idx="34">
                  <c:v>2.5972327099789489E-2</c:v>
                </c:pt>
                <c:pt idx="35">
                  <c:v>2.7285588790033257E-2</c:v>
                </c:pt>
                <c:pt idx="36">
                  <c:v>2.8385415750938274E-2</c:v>
                </c:pt>
                <c:pt idx="37">
                  <c:v>2.9263117819284794E-2</c:v>
                </c:pt>
                <c:pt idx="38">
                  <c:v>2.9915969032546945E-2</c:v>
                </c:pt>
                <c:pt idx="39">
                  <c:v>3.0346573327567451E-2</c:v>
                </c:pt>
                <c:pt idx="40">
                  <c:v>3.0562121998870484E-2</c:v>
                </c:pt>
                <c:pt idx="41">
                  <c:v>3.0573598088268913E-2</c:v>
                </c:pt>
                <c:pt idx="42">
                  <c:v>3.0394973471012818E-2</c:v>
                </c:pt>
                <c:pt idx="43">
                  <c:v>3.0042434560706023E-2</c:v>
                </c:pt>
                <c:pt idx="44">
                  <c:v>2.9533663074966517E-2</c:v>
                </c:pt>
                <c:pt idx="45">
                  <c:v>2.8887189712503036E-2</c:v>
                </c:pt>
                <c:pt idx="46">
                  <c:v>2.8121831189896921E-2</c:v>
                </c:pt>
                <c:pt idx="47">
                  <c:v>2.7256214997402949E-2</c:v>
                </c:pt>
                <c:pt idx="48">
                  <c:v>2.6308391454591115E-2</c:v>
                </c:pt>
                <c:pt idx="49">
                  <c:v>2.5295529090210621E-2</c:v>
                </c:pt>
                <c:pt idx="50">
                  <c:v>2.4233686896545828E-2</c:v>
                </c:pt>
                <c:pt idx="51">
                  <c:v>2.3137655452114714E-2</c:v>
                </c:pt>
                <c:pt idx="52">
                  <c:v>2.2020858097453608E-2</c:v>
                </c:pt>
                <c:pt idx="53">
                  <c:v>2.0895303123836782E-2</c:v>
                </c:pt>
                <c:pt idx="54">
                  <c:v>1.9771578146340188E-2</c:v>
                </c:pt>
                <c:pt idx="55">
                  <c:v>1.8658878352533454E-2</c:v>
                </c:pt>
                <c:pt idx="56">
                  <c:v>1.7565061039258506E-2</c:v>
                </c:pt>
                <c:pt idx="57">
                  <c:v>1.6496719686166738E-2</c:v>
                </c:pt>
                <c:pt idx="58">
                  <c:v>1.5459271698862366E-2</c:v>
                </c:pt>
                <c:pt idx="59">
                  <c:v>1.4457054836509831E-2</c:v>
                </c:pt>
                <c:pt idx="60">
                  <c:v>1.3493428182908031E-2</c:v>
                </c:pt>
                <c:pt idx="61">
                  <c:v>1.2570874302495445E-2</c:v>
                </c:pt>
                <c:pt idx="62">
                  <c:v>1.1691099929199309E-2</c:v>
                </c:pt>
                <c:pt idx="63">
                  <c:v>1.0855133159482307E-2</c:v>
                </c:pt>
                <c:pt idx="64">
                  <c:v>1.0063415659850377E-2</c:v>
                </c:pt>
                <c:pt idx="65">
                  <c:v>9.3158888558591522E-3</c:v>
                </c:pt>
                <c:pt idx="66">
                  <c:v>8.6120734493345431E-3</c:v>
                </c:pt>
                <c:pt idx="67">
                  <c:v>7.9511419197901435E-3</c:v>
                </c:pt>
                <c:pt idx="68">
                  <c:v>7.3319839124383838E-3</c:v>
                </c:pt>
                <c:pt idx="69">
                  <c:v>6.7532646066084841E-3</c:v>
                </c:pt>
                <c:pt idx="70">
                  <c:v>6.213476302545603E-3</c:v>
                </c:pt>
                <c:pt idx="71">
                  <c:v>5.7109835688191838E-3</c:v>
                </c:pt>
                <c:pt idx="72">
                  <c:v>5.244062363690633E-3</c:v>
                </c:pt>
                <c:pt idx="73">
                  <c:v>4.8109335878842507E-3</c:v>
                </c:pt>
                <c:pt idx="74">
                  <c:v>4.4097915486616263E-3</c:v>
                </c:pt>
                <c:pt idx="75">
                  <c:v>4.0388278205967061E-3</c:v>
                </c:pt>
                <c:pt idx="76">
                  <c:v>3.6962509809815073E-3</c:v>
                </c:pt>
                <c:pt idx="77">
                  <c:v>3.3803026807216465E-3</c:v>
                </c:pt>
                <c:pt idx="78">
                  <c:v>3.0892704876902127E-3</c:v>
                </c:pt>
                <c:pt idx="79">
                  <c:v>2.8214979110691512E-3</c:v>
                </c:pt>
                <c:pt idx="80">
                  <c:v>2.5753919840421574E-3</c:v>
                </c:pt>
                <c:pt idx="81">
                  <c:v>2.3494287497481479E-3</c:v>
                </c:pt>
                <c:pt idx="82">
                  <c:v>2.1421569627683504E-3</c:v>
                </c:pt>
                <c:pt idx="83">
                  <c:v>1.9522002864365427E-3</c:v>
                </c:pt>
                <c:pt idx="84">
                  <c:v>1.7782582355375231E-3</c:v>
                </c:pt>
                <c:pt idx="85">
                  <c:v>1.6191060849154143E-3</c:v>
                </c:pt>
                <c:pt idx="86">
                  <c:v>1.4735939374233948E-3</c:v>
                </c:pt>
                <c:pt idx="87">
                  <c:v>1.3406451196656083E-3</c:v>
                </c:pt>
                <c:pt idx="88">
                  <c:v>1.219254051174077E-3</c:v>
                </c:pt>
                <c:pt idx="89">
                  <c:v>1.1084837120231461E-3</c:v>
                </c:pt>
                <c:pt idx="90">
                  <c:v>1.0074628153547386E-3</c:v>
                </c:pt>
                <c:pt idx="91">
                  <c:v>9.1538277477595017E-4</c:v>
                </c:pt>
                <c:pt idx="92">
                  <c:v>8.314945419784825E-4</c:v>
                </c:pt>
                <c:pt idx="93">
                  <c:v>7.5510537708336242E-4</c:v>
                </c:pt>
                <c:pt idx="94">
                  <c:v>6.8557560299293771E-4</c:v>
                </c:pt>
                <c:pt idx="95">
                  <c:v>6.2231538529106969E-4</c:v>
                </c:pt>
                <c:pt idx="96">
                  <c:v>5.6478157082940619E-4</c:v>
                </c:pt>
                <c:pt idx="97">
                  <c:v>5.1247461093496436E-4</c:v>
                </c:pt>
                <c:pt idx="98">
                  <c:v>4.6493558904106287E-4</c:v>
                </c:pt>
                <c:pt idx="99">
                  <c:v>4.2174336735740939E-4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493984"/>
        <c:axId val="199500512"/>
      </c:scatterChart>
      <c:valAx>
        <c:axId val="199493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Asset</a:t>
                </a:r>
              </a:p>
            </c:rich>
          </c:tx>
          <c:layout>
            <c:manualLayout>
              <c:xMode val="edge"/>
              <c:yMode val="edge"/>
              <c:x val="0.47873997166283422"/>
              <c:y val="0.9047646595196008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500512"/>
        <c:crosses val="autoZero"/>
        <c:crossBetween val="midCat"/>
      </c:valAx>
      <c:valAx>
        <c:axId val="1995005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Gamma</a:t>
                </a:r>
              </a:p>
            </c:rich>
          </c:tx>
          <c:layout>
            <c:manualLayout>
              <c:xMode val="edge"/>
              <c:yMode val="edge"/>
              <c:x val="2.5848140663832953E-2"/>
              <c:y val="0.3777792061706572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493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4318453998559921"/>
          <c:y val="0.60000122433675385"/>
          <c:w val="0.14539604673309647"/>
          <c:h val="0.1365083446201877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636372191381562E-2"/>
          <c:y val="8.6816720257234734E-2"/>
          <c:w val="0.82363709484827308"/>
          <c:h val="0.6591639871382636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'Hedging P&amp;L'!$B$10</c:f>
              <c:strCache>
                <c:ptCount val="1"/>
                <c:pt idx="0">
                  <c:v>Asset Path (sigma_a)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'Hedging P&amp;L'!$A$11:$A$111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</c:v>
                </c:pt>
              </c:numCache>
            </c:numRef>
          </c:xVal>
          <c:yVal>
            <c:numRef>
              <c:f>'Hedging P&amp;L'!$B$11:$B$111</c:f>
              <c:numCache>
                <c:formatCode>General</c:formatCode>
                <c:ptCount val="101"/>
                <c:pt idx="0">
                  <c:v>100</c:v>
                </c:pt>
                <c:pt idx="1">
                  <c:v>97.46294504030908</c:v>
                </c:pt>
                <c:pt idx="2">
                  <c:v>98.743597091732582</c:v>
                </c:pt>
                <c:pt idx="3">
                  <c:v>103.25416291930267</c:v>
                </c:pt>
                <c:pt idx="4">
                  <c:v>104.82429452835733</c:v>
                </c:pt>
                <c:pt idx="5">
                  <c:v>104.3364482517707</c:v>
                </c:pt>
                <c:pt idx="6">
                  <c:v>104.14890797350161</c:v>
                </c:pt>
                <c:pt idx="7">
                  <c:v>103.99930544117476</c:v>
                </c:pt>
                <c:pt idx="8">
                  <c:v>104.28716632092228</c:v>
                </c:pt>
                <c:pt idx="9">
                  <c:v>106.6320049980752</c:v>
                </c:pt>
                <c:pt idx="10">
                  <c:v>104.30053970198846</c:v>
                </c:pt>
                <c:pt idx="11">
                  <c:v>96.442511931548339</c:v>
                </c:pt>
                <c:pt idx="12">
                  <c:v>100.30939748094391</c:v>
                </c:pt>
                <c:pt idx="13">
                  <c:v>98.794732095342837</c:v>
                </c:pt>
                <c:pt idx="14">
                  <c:v>99.524143974927682</c:v>
                </c:pt>
                <c:pt idx="15">
                  <c:v>101.14675383364205</c:v>
                </c:pt>
                <c:pt idx="16">
                  <c:v>97.517499647093544</c:v>
                </c:pt>
                <c:pt idx="17">
                  <c:v>96.204128539064541</c:v>
                </c:pt>
                <c:pt idx="18">
                  <c:v>98.148876029636369</c:v>
                </c:pt>
                <c:pt idx="19">
                  <c:v>101.34207102678057</c:v>
                </c:pt>
                <c:pt idx="20">
                  <c:v>97.915022253398121</c:v>
                </c:pt>
                <c:pt idx="21">
                  <c:v>96.105347185626542</c:v>
                </c:pt>
                <c:pt idx="22">
                  <c:v>104.5946980787045</c:v>
                </c:pt>
                <c:pt idx="23">
                  <c:v>103.29950514175177</c:v>
                </c:pt>
                <c:pt idx="24">
                  <c:v>103.5437723379175</c:v>
                </c:pt>
                <c:pt idx="25">
                  <c:v>102.66061284473682</c:v>
                </c:pt>
                <c:pt idx="26">
                  <c:v>102.94994141002401</c:v>
                </c:pt>
                <c:pt idx="27">
                  <c:v>103.75855860264937</c:v>
                </c:pt>
                <c:pt idx="28">
                  <c:v>100.06342904422544</c:v>
                </c:pt>
                <c:pt idx="29">
                  <c:v>99.465763440893312</c:v>
                </c:pt>
                <c:pt idx="30">
                  <c:v>97.117667357484351</c:v>
                </c:pt>
                <c:pt idx="31">
                  <c:v>100.54630504031391</c:v>
                </c:pt>
                <c:pt idx="32">
                  <c:v>100.35676744597679</c:v>
                </c:pt>
                <c:pt idx="33">
                  <c:v>98.420168885252224</c:v>
                </c:pt>
                <c:pt idx="34">
                  <c:v>101.93736152330582</c:v>
                </c:pt>
                <c:pt idx="35">
                  <c:v>97.675592998325001</c:v>
                </c:pt>
                <c:pt idx="36">
                  <c:v>98.687980982601204</c:v>
                </c:pt>
                <c:pt idx="37">
                  <c:v>96.782212279574139</c:v>
                </c:pt>
                <c:pt idx="38">
                  <c:v>97.598994970918653</c:v>
                </c:pt>
                <c:pt idx="39">
                  <c:v>95.834367823635432</c:v>
                </c:pt>
                <c:pt idx="40">
                  <c:v>92.203091055085864</c:v>
                </c:pt>
                <c:pt idx="41">
                  <c:v>95.089181830817154</c:v>
                </c:pt>
                <c:pt idx="42">
                  <c:v>97.602210809891915</c:v>
                </c:pt>
                <c:pt idx="43">
                  <c:v>101.72018928148164</c:v>
                </c:pt>
                <c:pt idx="44">
                  <c:v>100.18204768725722</c:v>
                </c:pt>
                <c:pt idx="45">
                  <c:v>103.94146790879876</c:v>
                </c:pt>
                <c:pt idx="46">
                  <c:v>103.10893590919694</c:v>
                </c:pt>
                <c:pt idx="47">
                  <c:v>97.856844694299795</c:v>
                </c:pt>
                <c:pt idx="48">
                  <c:v>102.04070052552547</c:v>
                </c:pt>
                <c:pt idx="49">
                  <c:v>101.3263947964796</c:v>
                </c:pt>
                <c:pt idx="50">
                  <c:v>102.61625048079544</c:v>
                </c:pt>
                <c:pt idx="51">
                  <c:v>105.50475558072689</c:v>
                </c:pt>
                <c:pt idx="52">
                  <c:v>102.22719406264899</c:v>
                </c:pt>
                <c:pt idx="53">
                  <c:v>98.632291363682043</c:v>
                </c:pt>
                <c:pt idx="54">
                  <c:v>98.212030338790328</c:v>
                </c:pt>
                <c:pt idx="55">
                  <c:v>100.63230237558864</c:v>
                </c:pt>
                <c:pt idx="56">
                  <c:v>96.705864697001374</c:v>
                </c:pt>
                <c:pt idx="57">
                  <c:v>98.618445574291414</c:v>
                </c:pt>
                <c:pt idx="58">
                  <c:v>100.62664617045272</c:v>
                </c:pt>
                <c:pt idx="59">
                  <c:v>102.60805979901215</c:v>
                </c:pt>
                <c:pt idx="60">
                  <c:v>104.35767131303406</c:v>
                </c:pt>
                <c:pt idx="61">
                  <c:v>104.09906961187501</c:v>
                </c:pt>
                <c:pt idx="62">
                  <c:v>101.79525340112794</c:v>
                </c:pt>
                <c:pt idx="63">
                  <c:v>104.37793260614741</c:v>
                </c:pt>
                <c:pt idx="64">
                  <c:v>108.20558332425691</c:v>
                </c:pt>
                <c:pt idx="65">
                  <c:v>110.97667378738379</c:v>
                </c:pt>
                <c:pt idx="66">
                  <c:v>113.07340361614321</c:v>
                </c:pt>
                <c:pt idx="67">
                  <c:v>114.57201318190039</c:v>
                </c:pt>
                <c:pt idx="68">
                  <c:v>114.8590328740169</c:v>
                </c:pt>
                <c:pt idx="69">
                  <c:v>116.63721327389632</c:v>
                </c:pt>
                <c:pt idx="70">
                  <c:v>119.47075468377413</c:v>
                </c:pt>
                <c:pt idx="71">
                  <c:v>123.65373874345464</c:v>
                </c:pt>
                <c:pt idx="72">
                  <c:v>123.60527322828048</c:v>
                </c:pt>
                <c:pt idx="73">
                  <c:v>122.41333309566721</c:v>
                </c:pt>
                <c:pt idx="74">
                  <c:v>118.91481404473173</c:v>
                </c:pt>
                <c:pt idx="75">
                  <c:v>122.66677734801048</c:v>
                </c:pt>
                <c:pt idx="76">
                  <c:v>124.19076122920322</c:v>
                </c:pt>
                <c:pt idx="77">
                  <c:v>120.84285891558304</c:v>
                </c:pt>
                <c:pt idx="78">
                  <c:v>118.00896683745165</c:v>
                </c:pt>
                <c:pt idx="79">
                  <c:v>112.21808203837931</c:v>
                </c:pt>
                <c:pt idx="80">
                  <c:v>113.02698748135332</c:v>
                </c:pt>
                <c:pt idx="81">
                  <c:v>113.0963432598199</c:v>
                </c:pt>
                <c:pt idx="82">
                  <c:v>117.43328620242681</c:v>
                </c:pt>
                <c:pt idx="83">
                  <c:v>120.94779247445962</c:v>
                </c:pt>
                <c:pt idx="84">
                  <c:v>116.0846589302281</c:v>
                </c:pt>
                <c:pt idx="85">
                  <c:v>116.42483121129922</c:v>
                </c:pt>
                <c:pt idx="86">
                  <c:v>107.73548131141776</c:v>
                </c:pt>
                <c:pt idx="87">
                  <c:v>113.62152073691939</c:v>
                </c:pt>
                <c:pt idx="88">
                  <c:v>110.48918341269002</c:v>
                </c:pt>
                <c:pt idx="89">
                  <c:v>109.48110775350617</c:v>
                </c:pt>
                <c:pt idx="90">
                  <c:v>107.71809813340882</c:v>
                </c:pt>
                <c:pt idx="91">
                  <c:v>108.24832624871941</c:v>
                </c:pt>
                <c:pt idx="92">
                  <c:v>105.76175012608161</c:v>
                </c:pt>
                <c:pt idx="93">
                  <c:v>106.68129637323298</c:v>
                </c:pt>
                <c:pt idx="94">
                  <c:v>111.27054494315688</c:v>
                </c:pt>
                <c:pt idx="95">
                  <c:v>113.30157265803022</c:v>
                </c:pt>
                <c:pt idx="96">
                  <c:v>114.43477676874981</c:v>
                </c:pt>
                <c:pt idx="97">
                  <c:v>113.24154108554832</c:v>
                </c:pt>
                <c:pt idx="98">
                  <c:v>116.751888083152</c:v>
                </c:pt>
                <c:pt idx="99">
                  <c:v>115.2006266929762</c:v>
                </c:pt>
                <c:pt idx="100">
                  <c:v>123.79709334885246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650864"/>
        <c:axId val="199007240"/>
      </c:scatterChart>
      <c:scatterChart>
        <c:scatterStyle val="lineMarker"/>
        <c:varyColors val="0"/>
        <c:ser>
          <c:idx val="1"/>
          <c:order val="1"/>
          <c:tx>
            <c:strRef>
              <c:f>'Hedging P&amp;L'!$G$10</c:f>
              <c:strCache>
                <c:ptCount val="1"/>
                <c:pt idx="0">
                  <c:v>MtM P&amp;L</c:v>
                </c:pt>
              </c:strCache>
            </c:strRef>
          </c:tx>
          <c:spPr>
            <a:ln w="2222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'Hedging P&amp;L'!$A$11:$A$111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</c:v>
                </c:pt>
              </c:numCache>
            </c:numRef>
          </c:xVal>
          <c:yVal>
            <c:numRef>
              <c:f>'Hedging P&amp;L'!$G$11:$G$111</c:f>
              <c:numCache>
                <c:formatCode>General</c:formatCode>
                <c:ptCount val="101"/>
                <c:pt idx="0">
                  <c:v>0</c:v>
                </c:pt>
                <c:pt idx="1">
                  <c:v>-6.4108642731000032E-3</c:v>
                </c:pt>
                <c:pt idx="2">
                  <c:v>-3.4202574242357286E-2</c:v>
                </c:pt>
                <c:pt idx="3">
                  <c:v>0.13655113960842158</c:v>
                </c:pt>
                <c:pt idx="4">
                  <c:v>0.1675435160847627</c:v>
                </c:pt>
                <c:pt idx="5">
                  <c:v>0.11242540159270931</c:v>
                </c:pt>
                <c:pt idx="6">
                  <c:v>6.7346136415935121E-2</c:v>
                </c:pt>
                <c:pt idx="7">
                  <c:v>2.3375313784427476E-2</c:v>
                </c:pt>
                <c:pt idx="8">
                  <c:v>-4.9184546542164753E-3</c:v>
                </c:pt>
                <c:pt idx="9">
                  <c:v>8.7718779841715389E-2</c:v>
                </c:pt>
                <c:pt idx="10">
                  <c:v>-1.823453753793558E-2</c:v>
                </c:pt>
                <c:pt idx="11">
                  <c:v>0.23849837557227715</c:v>
                </c:pt>
                <c:pt idx="12">
                  <c:v>0.30370423498673205</c:v>
                </c:pt>
                <c:pt idx="13">
                  <c:v>0.26616976463077435</c:v>
                </c:pt>
                <c:pt idx="14">
                  <c:v>0.2327546899110402</c:v>
                </c:pt>
                <c:pt idx="15">
                  <c:v>0.23098017095622936</c:v>
                </c:pt>
                <c:pt idx="16">
                  <c:v>0.2579990680857307</c:v>
                </c:pt>
                <c:pt idx="17">
                  <c:v>0.24499791490666212</c:v>
                </c:pt>
                <c:pt idx="18">
                  <c:v>0.21284853503260592</c:v>
                </c:pt>
                <c:pt idx="19">
                  <c:v>0.27192503990290362</c:v>
                </c:pt>
                <c:pt idx="20">
                  <c:v>0.28502340470507903</c:v>
                </c:pt>
                <c:pt idx="21">
                  <c:v>0.28827402744484232</c:v>
                </c:pt>
                <c:pt idx="22">
                  <c:v>0.87758778008171134</c:v>
                </c:pt>
                <c:pt idx="23">
                  <c:v>0.7995561120835859</c:v>
                </c:pt>
                <c:pt idx="24">
                  <c:v>0.76503726401818994</c:v>
                </c:pt>
                <c:pt idx="25">
                  <c:v>0.69936636886298942</c:v>
                </c:pt>
                <c:pt idx="26">
                  <c:v>0.66457651128423123</c:v>
                </c:pt>
                <c:pt idx="27">
                  <c:v>0.65174934065223056</c:v>
                </c:pt>
                <c:pt idx="28">
                  <c:v>0.61718801626965814</c:v>
                </c:pt>
                <c:pt idx="29">
                  <c:v>0.56957066940160672</c:v>
                </c:pt>
                <c:pt idx="30">
                  <c:v>0.57518491207136435</c:v>
                </c:pt>
                <c:pt idx="31">
                  <c:v>0.62522050179718747</c:v>
                </c:pt>
                <c:pt idx="32">
                  <c:v>0.57654804483006927</c:v>
                </c:pt>
                <c:pt idx="33">
                  <c:v>0.54969426191618709</c:v>
                </c:pt>
                <c:pt idx="34">
                  <c:v>0.63904108838362816</c:v>
                </c:pt>
                <c:pt idx="35">
                  <c:v>0.70068950698803434</c:v>
                </c:pt>
                <c:pt idx="36">
                  <c:v>0.65624934629671827</c:v>
                </c:pt>
                <c:pt idx="37">
                  <c:v>0.65689828659041183</c:v>
                </c:pt>
                <c:pt idx="38">
                  <c:v>0.60305939098910954</c:v>
                </c:pt>
                <c:pt idx="39">
                  <c:v>0.61542914817350436</c:v>
                </c:pt>
                <c:pt idx="40">
                  <c:v>0.84660809032521911</c:v>
                </c:pt>
                <c:pt idx="41">
                  <c:v>0.74148078526552297</c:v>
                </c:pt>
                <c:pt idx="42">
                  <c:v>0.69119815855188449</c:v>
                </c:pt>
                <c:pt idx="43">
                  <c:v>0.81141466461495071</c:v>
                </c:pt>
                <c:pt idx="44">
                  <c:v>0.75414931533206442</c:v>
                </c:pt>
                <c:pt idx="45">
                  <c:v>0.91681212568266091</c:v>
                </c:pt>
                <c:pt idx="46">
                  <c:v>0.84084547477433347</c:v>
                </c:pt>
                <c:pt idx="47">
                  <c:v>0.95970681272811476</c:v>
                </c:pt>
                <c:pt idx="48">
                  <c:v>1.0973715482990301</c:v>
                </c:pt>
                <c:pt idx="49">
                  <c:v>1.0319296700453648</c:v>
                </c:pt>
                <c:pt idx="50">
                  <c:v>1.025231859429006</c:v>
                </c:pt>
                <c:pt idx="51">
                  <c:v>1.1620733501336602</c:v>
                </c:pt>
                <c:pt idx="52">
                  <c:v>1.0663729699223907</c:v>
                </c:pt>
                <c:pt idx="53">
                  <c:v>1.0867170029587925</c:v>
                </c:pt>
                <c:pt idx="54">
                  <c:v>1.0353225686700469</c:v>
                </c:pt>
                <c:pt idx="55">
                  <c:v>1.0404923045922914</c:v>
                </c:pt>
                <c:pt idx="56">
                  <c:v>1.1571432158580919</c:v>
                </c:pt>
                <c:pt idx="57">
                  <c:v>1.1060026423031104</c:v>
                </c:pt>
                <c:pt idx="58">
                  <c:v>1.0946226565413539</c:v>
                </c:pt>
                <c:pt idx="59">
                  <c:v>1.118883099838655</c:v>
                </c:pt>
                <c:pt idx="60">
                  <c:v>1.1580460051602515</c:v>
                </c:pt>
                <c:pt idx="61">
                  <c:v>1.0880343623183819</c:v>
                </c:pt>
                <c:pt idx="62">
                  <c:v>0.99621381298409517</c:v>
                </c:pt>
                <c:pt idx="63">
                  <c:v>1.0965350689802307</c:v>
                </c:pt>
                <c:pt idx="64">
                  <c:v>1.4083575163111988</c:v>
                </c:pt>
                <c:pt idx="65">
                  <c:v>1.6358586505570116</c:v>
                </c:pt>
                <c:pt idx="66">
                  <c:v>1.7996435544655611</c:v>
                </c:pt>
                <c:pt idx="67">
                  <c:v>1.9035306655787707</c:v>
                </c:pt>
                <c:pt idx="68">
                  <c:v>1.8941390598336625</c:v>
                </c:pt>
                <c:pt idx="69">
                  <c:v>2.0278089475345382</c:v>
                </c:pt>
                <c:pt idx="70">
                  <c:v>2.2606491698598461</c:v>
                </c:pt>
                <c:pt idx="71">
                  <c:v>2.5814334794739437</c:v>
                </c:pt>
                <c:pt idx="72">
                  <c:v>2.5680681291443221</c:v>
                </c:pt>
                <c:pt idx="73">
                  <c:v>2.4962843160772081</c:v>
                </c:pt>
                <c:pt idx="74">
                  <c:v>2.3102077914915213</c:v>
                </c:pt>
                <c:pt idx="75">
                  <c:v>2.5839185584136146</c:v>
                </c:pt>
                <c:pt idx="76">
                  <c:v>2.6562310978015802</c:v>
                </c:pt>
                <c:pt idx="77">
                  <c:v>2.5144570410971738</c:v>
                </c:pt>
                <c:pt idx="78">
                  <c:v>2.3581355598015534</c:v>
                </c:pt>
                <c:pt idx="79">
                  <c:v>2.0768446388875077</c:v>
                </c:pt>
                <c:pt idx="80">
                  <c:v>2.1134859730894249</c:v>
                </c:pt>
                <c:pt idx="81">
                  <c:v>2.0846405731061708</c:v>
                </c:pt>
                <c:pt idx="82">
                  <c:v>2.5058378694365757</c:v>
                </c:pt>
                <c:pt idx="83">
                  <c:v>2.7338954350931175</c:v>
                </c:pt>
                <c:pt idx="84">
                  <c:v>2.5569220160926704</c:v>
                </c:pt>
                <c:pt idx="85">
                  <c:v>2.5622088112426269</c:v>
                </c:pt>
                <c:pt idx="86">
                  <c:v>2.3796478122448832</c:v>
                </c:pt>
                <c:pt idx="87">
                  <c:v>3.1976159837662692</c:v>
                </c:pt>
                <c:pt idx="88">
                  <c:v>2.9942402998322706</c:v>
                </c:pt>
                <c:pt idx="89">
                  <c:v>2.8717478860986034</c:v>
                </c:pt>
                <c:pt idx="90">
                  <c:v>2.6915481526627616</c:v>
                </c:pt>
                <c:pt idx="91">
                  <c:v>2.6848770817578469</c:v>
                </c:pt>
                <c:pt idx="92">
                  <c:v>2.4674826449104899</c:v>
                </c:pt>
                <c:pt idx="93">
                  <c:v>2.4895079531180784</c:v>
                </c:pt>
                <c:pt idx="94">
                  <c:v>3.095055997245467</c:v>
                </c:pt>
                <c:pt idx="95">
                  <c:v>3.2015127114201078</c:v>
                </c:pt>
                <c:pt idx="96">
                  <c:v>3.229073869194707</c:v>
                </c:pt>
                <c:pt idx="97">
                  <c:v>3.2174334047869735</c:v>
                </c:pt>
                <c:pt idx="98">
                  <c:v>3.2437219908941728</c:v>
                </c:pt>
                <c:pt idx="99">
                  <c:v>3.2451674793228733</c:v>
                </c:pt>
                <c:pt idx="100">
                  <c:v>3.2467992288400751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012776"/>
        <c:axId val="200013160"/>
      </c:scatterChart>
      <c:valAx>
        <c:axId val="199650864"/>
        <c:scaling>
          <c:orientation val="minMax"/>
          <c:max val="1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007240"/>
        <c:crosses val="autoZero"/>
        <c:crossBetween val="midCat"/>
      </c:valAx>
      <c:valAx>
        <c:axId val="1990072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650864"/>
        <c:crosses val="autoZero"/>
        <c:crossBetween val="midCat"/>
      </c:valAx>
      <c:valAx>
        <c:axId val="200012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0013160"/>
        <c:crosses val="autoZero"/>
        <c:crossBetween val="midCat"/>
      </c:valAx>
      <c:valAx>
        <c:axId val="200013160"/>
        <c:scaling>
          <c:orientation val="minMax"/>
        </c:scaling>
        <c:delete val="0"/>
        <c:axPos val="r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012776"/>
        <c:crosses val="max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707384549904236E-2"/>
          <c:y val="0.8695003520901351"/>
          <c:w val="0.81899188277141033"/>
          <c:h val="8.36012861736334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 sz="1200" b="1" i="0" u="none" strike="noStrike" baseline="0"/>
              <a:t>Call Option: Uncertain Volatility vs. </a:t>
            </a:r>
            <a:r>
              <a:rPr lang="en-GB"/>
              <a:t>Black-Scholes</a:t>
            </a:r>
            <a:r>
              <a:rPr lang="en-GB" baseline="0"/>
              <a:t> </a:t>
            </a:r>
            <a:endParaRPr lang="en-GB"/>
          </a:p>
        </c:rich>
      </c:tx>
      <c:layout>
        <c:manualLayout>
          <c:xMode val="edge"/>
          <c:yMode val="edge"/>
          <c:x val="0.21682881872775611"/>
          <c:y val="7.05596107055961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7670025646657634E-2"/>
          <c:y val="0.17274980219216229"/>
          <c:w val="0.88026029066211986"/>
          <c:h val="0.6982984961852194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'Uncertain Vol.'!$L$1</c:f>
              <c:strCache>
                <c:ptCount val="1"/>
                <c:pt idx="0">
                  <c:v>payoff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Vol.'!$L$2:$L$101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4</c:v>
                </c:pt>
                <c:pt idx="53">
                  <c:v>6</c:v>
                </c:pt>
                <c:pt idx="54">
                  <c:v>8</c:v>
                </c:pt>
                <c:pt idx="55">
                  <c:v>10</c:v>
                </c:pt>
                <c:pt idx="56">
                  <c:v>12</c:v>
                </c:pt>
                <c:pt idx="57">
                  <c:v>14</c:v>
                </c:pt>
                <c:pt idx="58">
                  <c:v>16</c:v>
                </c:pt>
                <c:pt idx="59">
                  <c:v>18</c:v>
                </c:pt>
                <c:pt idx="60">
                  <c:v>20</c:v>
                </c:pt>
                <c:pt idx="61">
                  <c:v>22</c:v>
                </c:pt>
                <c:pt idx="62">
                  <c:v>24</c:v>
                </c:pt>
                <c:pt idx="63">
                  <c:v>26</c:v>
                </c:pt>
                <c:pt idx="64">
                  <c:v>28</c:v>
                </c:pt>
                <c:pt idx="65">
                  <c:v>30</c:v>
                </c:pt>
                <c:pt idx="66">
                  <c:v>32</c:v>
                </c:pt>
                <c:pt idx="67">
                  <c:v>34</c:v>
                </c:pt>
                <c:pt idx="68">
                  <c:v>36</c:v>
                </c:pt>
                <c:pt idx="69">
                  <c:v>38</c:v>
                </c:pt>
                <c:pt idx="70">
                  <c:v>40</c:v>
                </c:pt>
                <c:pt idx="71">
                  <c:v>42</c:v>
                </c:pt>
                <c:pt idx="72">
                  <c:v>44</c:v>
                </c:pt>
                <c:pt idx="73">
                  <c:v>46</c:v>
                </c:pt>
                <c:pt idx="74">
                  <c:v>48</c:v>
                </c:pt>
                <c:pt idx="75">
                  <c:v>50</c:v>
                </c:pt>
                <c:pt idx="76">
                  <c:v>52</c:v>
                </c:pt>
                <c:pt idx="77">
                  <c:v>54</c:v>
                </c:pt>
                <c:pt idx="78">
                  <c:v>56</c:v>
                </c:pt>
                <c:pt idx="79">
                  <c:v>58</c:v>
                </c:pt>
                <c:pt idx="80">
                  <c:v>60</c:v>
                </c:pt>
                <c:pt idx="81">
                  <c:v>62</c:v>
                </c:pt>
                <c:pt idx="82">
                  <c:v>64</c:v>
                </c:pt>
                <c:pt idx="83">
                  <c:v>66</c:v>
                </c:pt>
                <c:pt idx="84">
                  <c:v>68</c:v>
                </c:pt>
                <c:pt idx="85">
                  <c:v>70</c:v>
                </c:pt>
                <c:pt idx="86">
                  <c:v>72</c:v>
                </c:pt>
                <c:pt idx="87">
                  <c:v>74</c:v>
                </c:pt>
                <c:pt idx="88">
                  <c:v>76</c:v>
                </c:pt>
                <c:pt idx="89">
                  <c:v>78</c:v>
                </c:pt>
                <c:pt idx="90">
                  <c:v>80</c:v>
                </c:pt>
                <c:pt idx="91">
                  <c:v>82</c:v>
                </c:pt>
                <c:pt idx="92">
                  <c:v>84</c:v>
                </c:pt>
                <c:pt idx="93">
                  <c:v>86</c:v>
                </c:pt>
                <c:pt idx="94">
                  <c:v>88</c:v>
                </c:pt>
                <c:pt idx="95">
                  <c:v>90</c:v>
                </c:pt>
                <c:pt idx="96">
                  <c:v>92</c:v>
                </c:pt>
                <c:pt idx="97">
                  <c:v>94</c:v>
                </c:pt>
                <c:pt idx="98">
                  <c:v>96</c:v>
                </c:pt>
                <c:pt idx="99">
                  <c:v>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'Uncertain Vol.'!$M$1</c:f>
              <c:strCache>
                <c:ptCount val="1"/>
                <c:pt idx="0">
                  <c:v>UV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Vol.'!$M$2:$M$101</c:f>
              <c:numCache>
                <c:formatCode>0.0000</c:formatCode>
                <c:ptCount val="100"/>
                <c:pt idx="0">
                  <c:v>0</c:v>
                </c:pt>
                <c:pt idx="1">
                  <c:v>2.2544624073056298E-40</c:v>
                </c:pt>
                <c:pt idx="2">
                  <c:v>4.2958761208341698E-37</c:v>
                </c:pt>
                <c:pt idx="3">
                  <c:v>2.7443709690886624E-34</c:v>
                </c:pt>
                <c:pt idx="4">
                  <c:v>8.6558074255347441E-32</c:v>
                </c:pt>
                <c:pt idx="5">
                  <c:v>1.6051261312859586E-29</c:v>
                </c:pt>
                <c:pt idx="6">
                  <c:v>1.9369655663212971E-27</c:v>
                </c:pt>
                <c:pt idx="7">
                  <c:v>1.6261350402759054E-25</c:v>
                </c:pt>
                <c:pt idx="8">
                  <c:v>9.9594533212179348E-24</c:v>
                </c:pt>
                <c:pt idx="9">
                  <c:v>4.6112312897593474E-22</c:v>
                </c:pt>
                <c:pt idx="10">
                  <c:v>1.6594122098146663E-20</c:v>
                </c:pt>
                <c:pt idx="11">
                  <c:v>4.7461466385313518E-19</c:v>
                </c:pt>
                <c:pt idx="12">
                  <c:v>1.0989369073054653E-17</c:v>
                </c:pt>
                <c:pt idx="13">
                  <c:v>2.0921190069822161E-16</c:v>
                </c:pt>
                <c:pt idx="14">
                  <c:v>3.318687406954774E-15</c:v>
                </c:pt>
                <c:pt idx="15">
                  <c:v>4.43774415207013E-14</c:v>
                </c:pt>
                <c:pt idx="16">
                  <c:v>5.0541655533939644E-13</c:v>
                </c:pt>
                <c:pt idx="17">
                  <c:v>4.9482258776300384E-12</c:v>
                </c:pt>
                <c:pt idx="18">
                  <c:v>4.199738293320528E-11</c:v>
                </c:pt>
                <c:pt idx="19">
                  <c:v>3.1141303493047954E-10</c:v>
                </c:pt>
                <c:pt idx="20">
                  <c:v>2.0320158712333621E-9</c:v>
                </c:pt>
                <c:pt idx="21">
                  <c:v>1.1747213583690334E-8</c:v>
                </c:pt>
                <c:pt idx="22">
                  <c:v>6.0554020816100939E-8</c:v>
                </c:pt>
                <c:pt idx="23">
                  <c:v>2.8002773172814576E-7</c:v>
                </c:pt>
                <c:pt idx="24">
                  <c:v>1.168542195932668E-6</c:v>
                </c:pt>
                <c:pt idx="25">
                  <c:v>4.4249463993535491E-6</c:v>
                </c:pt>
                <c:pt idx="26">
                  <c:v>1.5287482192303919E-5</c:v>
                </c:pt>
                <c:pt idx="27">
                  <c:v>4.8438149616589388E-5</c:v>
                </c:pt>
                <c:pt idx="28">
                  <c:v>1.4146230453167418E-4</c:v>
                </c:pt>
                <c:pt idx="29">
                  <c:v>3.8264293422298471E-4</c:v>
                </c:pt>
                <c:pt idx="30">
                  <c:v>9.6308600074236563E-4</c:v>
                </c:pt>
                <c:pt idx="31">
                  <c:v>2.2656529191287258E-3</c:v>
                </c:pt>
                <c:pt idx="32">
                  <c:v>5.0030663952406436E-3</c:v>
                </c:pt>
                <c:pt idx="33">
                  <c:v>1.0412852416255015E-2</c:v>
                </c:pt>
                <c:pt idx="34">
                  <c:v>2.0506313934113923E-2</c:v>
                </c:pt>
                <c:pt idx="35">
                  <c:v>3.8353211403568746E-2</c:v>
                </c:pt>
                <c:pt idx="36">
                  <c:v>6.8366351210363857E-2</c:v>
                </c:pt>
                <c:pt idx="37">
                  <c:v>0.11653584021828281</c:v>
                </c:pt>
                <c:pt idx="38">
                  <c:v>0.19055670561792035</c:v>
                </c:pt>
                <c:pt idx="39">
                  <c:v>0.29979963926572611</c:v>
                </c:pt>
                <c:pt idx="40">
                  <c:v>0.45509332595625035</c:v>
                </c:pt>
                <c:pt idx="41">
                  <c:v>0.66831497309454324</c:v>
                </c:pt>
                <c:pt idx="42">
                  <c:v>0.95181723131057627</c:v>
                </c:pt>
                <c:pt idx="43">
                  <c:v>1.3177475971893169</c:v>
                </c:pt>
                <c:pt idx="44">
                  <c:v>1.7773345697251925</c:v>
                </c:pt>
                <c:pt idx="45">
                  <c:v>2.3402198611316662</c:v>
                </c:pt>
                <c:pt idx="46">
                  <c:v>3.0139076707286923</c:v>
                </c:pt>
                <c:pt idx="47">
                  <c:v>3.8033831493922849</c:v>
                </c:pt>
                <c:pt idx="48">
                  <c:v>4.7109272716747768</c:v>
                </c:pt>
                <c:pt idx="49">
                  <c:v>5.7361294449367133</c:v>
                </c:pt>
                <c:pt idx="50">
                  <c:v>6.8760766824844906</c:v>
                </c:pt>
                <c:pt idx="51">
                  <c:v>8.1256819690280224</c:v>
                </c:pt>
                <c:pt idx="52">
                  <c:v>9.4781057731176528</c:v>
                </c:pt>
                <c:pt idx="53">
                  <c:v>10.925223211421688</c:v>
                </c:pt>
                <c:pt idx="54">
                  <c:v>12.458093759675656</c:v>
                </c:pt>
                <c:pt idx="55">
                  <c:v>14.067398697316614</c:v>
                </c:pt>
                <c:pt idx="56">
                  <c:v>15.743821655874514</c:v>
                </c:pt>
                <c:pt idx="57">
                  <c:v>17.478357978069599</c:v>
                </c:pt>
                <c:pt idx="58">
                  <c:v>19.262547813644169</c:v>
                </c:pt>
                <c:pt idx="59">
                  <c:v>21.088635223765468</c:v>
                </c:pt>
                <c:pt idx="60">
                  <c:v>22.949660748211301</c:v>
                </c:pt>
                <c:pt idx="61">
                  <c:v>24.839497975829232</c:v>
                </c:pt>
                <c:pt idx="62">
                  <c:v>26.752845947776809</c:v>
                </c:pt>
                <c:pt idx="63">
                  <c:v>28.685189128418195</c:v>
                </c:pt>
                <c:pt idx="64">
                  <c:v>30.632735636795058</c:v>
                </c:pt>
                <c:pt idx="65">
                  <c:v>32.592342839061018</c:v>
                </c:pt>
                <c:pt idx="66">
                  <c:v>34.561437582074426</c:v>
                </c:pt>
                <c:pt idx="67">
                  <c:v>36.537936537596181</c:v>
                </c:pt>
                <c:pt idx="68">
                  <c:v>38.520170480070419</c:v>
                </c:pt>
                <c:pt idx="69">
                  <c:v>40.506814923799844</c:v>
                </c:pt>
                <c:pt idx="70">
                  <c:v>42.49682842891189</c:v>
                </c:pt>
                <c:pt idx="71">
                  <c:v>44.489399044106122</c:v>
                </c:pt>
                <c:pt idx="72">
                  <c:v>46.483898759219876</c:v>
                </c:pt>
                <c:pt idx="73">
                  <c:v>48.479845452155722</c:v>
                </c:pt>
                <c:pt idx="74">
                  <c:v>50.476871589454099</c:v>
                </c:pt>
                <c:pt idx="75">
                  <c:v>52.474698836647363</c:v>
                </c:pt>
                <c:pt idx="76">
                  <c:v>54.473117717500713</c:v>
                </c:pt>
                <c:pt idx="77">
                  <c:v>56.471971500766628</c:v>
                </c:pt>
                <c:pt idx="78">
                  <c:v>58.471143566163377</c:v>
                </c:pt>
                <c:pt idx="79">
                  <c:v>60.470547590978313</c:v>
                </c:pt>
                <c:pt idx="80">
                  <c:v>62.470119993159727</c:v>
                </c:pt>
                <c:pt idx="81">
                  <c:v>64.469814158279348</c:v>
                </c:pt>
                <c:pt idx="82">
                  <c:v>66.469596061731124</c:v>
                </c:pt>
                <c:pt idx="83">
                  <c:v>68.469440971662621</c:v>
                </c:pt>
                <c:pt idx="84">
                  <c:v>70.469330981649861</c:v>
                </c:pt>
                <c:pt idx="85">
                  <c:v>72.469253175266417</c:v>
                </c:pt>
                <c:pt idx="86">
                  <c:v>74.469198268289688</c:v>
                </c:pt>
                <c:pt idx="87">
                  <c:v>76.469159609458984</c:v>
                </c:pt>
                <c:pt idx="88">
                  <c:v>78.469132448669782</c:v>
                </c:pt>
                <c:pt idx="89">
                  <c:v>80.469113403455836</c:v>
                </c:pt>
                <c:pt idx="90">
                  <c:v>82.469100071669857</c:v>
                </c:pt>
                <c:pt idx="91">
                  <c:v>84.469090751390709</c:v>
                </c:pt>
                <c:pt idx="92">
                  <c:v>86.469084239079962</c:v>
                </c:pt>
                <c:pt idx="93">
                  <c:v>88.469079684563596</c:v>
                </c:pt>
                <c:pt idx="94">
                  <c:v>90.469076487080002</c:v>
                </c:pt>
                <c:pt idx="95">
                  <c:v>92.469074220853841</c:v>
                </c:pt>
                <c:pt idx="96">
                  <c:v>94.469072581776089</c:v>
                </c:pt>
                <c:pt idx="97">
                  <c:v>96.46907134906472</c:v>
                </c:pt>
                <c:pt idx="98">
                  <c:v>98.469070357455038</c:v>
                </c:pt>
                <c:pt idx="99">
                  <c:v>100.46906947668487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'Uncertain Vol.'!$N$1</c:f>
              <c:strCache>
                <c:ptCount val="1"/>
                <c:pt idx="0">
                  <c:v>BS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'Uncertain Vol.'!$K$2:$K$102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'Uncertain Vol.'!$N$2:$N$102</c:f>
              <c:numCache>
                <c:formatCode>0.0000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3.3306690738754696E-15</c:v>
                </c:pt>
                <c:pt idx="16">
                  <c:v>5.7456340104937602E-15</c:v>
                </c:pt>
                <c:pt idx="17">
                  <c:v>5.3117304611292542E-14</c:v>
                </c:pt>
                <c:pt idx="18">
                  <c:v>1.0230951254565479E-12</c:v>
                </c:pt>
                <c:pt idx="19">
                  <c:v>1.6095682188097928E-11</c:v>
                </c:pt>
                <c:pt idx="20">
                  <c:v>1.930216996562394E-10</c:v>
                </c:pt>
                <c:pt idx="21">
                  <c:v>1.8242997026938244E-9</c:v>
                </c:pt>
                <c:pt idx="22">
                  <c:v>1.3970713350862492E-8</c:v>
                </c:pt>
                <c:pt idx="23">
                  <c:v>8.8771985901954796E-8</c:v>
                </c:pt>
                <c:pt idx="24">
                  <c:v>4.7763169975743993E-7</c:v>
                </c:pt>
                <c:pt idx="25">
                  <c:v>2.2144978938359991E-6</c:v>
                </c:pt>
                <c:pt idx="26">
                  <c:v>8.9829114202776179E-6</c:v>
                </c:pt>
                <c:pt idx="27">
                  <c:v>3.2305009845541533E-5</c:v>
                </c:pt>
                <c:pt idx="28">
                  <c:v>1.0420191214526855E-4</c:v>
                </c:pt>
                <c:pt idx="29">
                  <c:v>3.0456287098686377E-4</c:v>
                </c:pt>
                <c:pt idx="30">
                  <c:v>8.139652850463891E-4</c:v>
                </c:pt>
                <c:pt idx="31">
                  <c:v>2.0052025005018251E-3</c:v>
                </c:pt>
                <c:pt idx="32">
                  <c:v>4.5862166887150752E-3</c:v>
                </c:pt>
                <c:pt idx="33">
                  <c:v>9.8014708990293298E-3</c:v>
                </c:pt>
                <c:pt idx="34">
                  <c:v>1.9687169983491071E-2</c:v>
                </c:pt>
                <c:pt idx="35">
                  <c:v>3.7359440651769993E-2</c:v>
                </c:pt>
                <c:pt idx="36">
                  <c:v>6.7297256549429418E-2</c:v>
                </c:pt>
                <c:pt idx="37">
                  <c:v>0.11556871246050759</c:v>
                </c:pt>
                <c:pt idx="38">
                  <c:v>0.18994520352937494</c:v>
                </c:pt>
                <c:pt idx="39">
                  <c:v>0.29985610463308454</c:v>
                </c:pt>
                <c:pt idx="40">
                  <c:v>0.45615635982011149</c:v>
                </c:pt>
                <c:pt idx="41">
                  <c:v>0.67070732469980854</c:v>
                </c:pt>
                <c:pt idx="42">
                  <c:v>0.95580132769995352</c:v>
                </c:pt>
                <c:pt idx="43">
                  <c:v>1.3234862974145862</c:v>
                </c:pt>
                <c:pt idx="44">
                  <c:v>1.78486329032825</c:v>
                </c:pt>
                <c:pt idx="45">
                  <c:v>2.3494341850316296</c:v>
                </c:pt>
                <c:pt idx="46">
                  <c:v>3.0245693680775005</c:v>
                </c:pt>
                <c:pt idx="47">
                  <c:v>3.8151484910708291</c:v>
                </c:pt>
                <c:pt idx="48">
                  <c:v>4.7234053100201905</c:v>
                </c:pt>
                <c:pt idx="49">
                  <c:v>5.7489146267422626</c:v>
                </c:pt>
                <c:pt idx="50">
                  <c:v>6.8887182220808114</c:v>
                </c:pt>
                <c:pt idx="51">
                  <c:v>8.1378429106297432</c:v>
                </c:pt>
                <c:pt idx="52">
                  <c:v>9.4894820162950069</c:v>
                </c:pt>
                <c:pt idx="53">
                  <c:v>10.935584394802987</c:v>
                </c:pt>
                <c:pt idx="54">
                  <c:v>12.467296157216609</c:v>
                </c:pt>
                <c:pt idx="55">
                  <c:v>14.075380149176652</c:v>
                </c:pt>
                <c:pt idx="56">
                  <c:v>15.750588470135213</c:v>
                </c:pt>
                <c:pt idx="57">
                  <c:v>17.483969057349725</c:v>
                </c:pt>
                <c:pt idx="58">
                  <c:v>19.267098798317889</c:v>
                </c:pt>
                <c:pt idx="59">
                  <c:v>21.092244136402059</c:v>
                </c:pt>
                <c:pt idx="60">
                  <c:v>22.952455889941064</c:v>
                </c:pt>
                <c:pt idx="61">
                  <c:v>24.841608373259191</c:v>
                </c:pt>
                <c:pt idx="62">
                  <c:v>26.754394347614507</c:v>
                </c:pt>
                <c:pt idx="63">
                  <c:v>28.686287333137415</c:v>
                </c:pt>
                <c:pt idx="64">
                  <c:v>30.633481847385454</c:v>
                </c:pt>
                <c:pt idx="65">
                  <c:v>32.59282060803946</c:v>
                </c:pt>
                <c:pt idx="66">
                  <c:v>34.561715969495623</c:v>
                </c:pt>
                <c:pt idx="67">
                  <c:v>36.538071091149845</c:v>
                </c:pt>
                <c:pt idx="68">
                  <c:v>38.520204713418394</c:v>
                </c:pt>
                <c:pt idx="69">
                  <c:v>40.506782032316707</c:v>
                </c:pt>
                <c:pt idx="70">
                  <c:v>42.496753048744964</c:v>
                </c:pt>
                <c:pt idx="71">
                  <c:v>44.489298921859856</c:v>
                </c:pt>
                <c:pt idx="72">
                  <c:v>46.483786251463471</c:v>
                </c:pt>
                <c:pt idx="73">
                  <c:v>48.479728814687334</c:v>
                </c:pt>
                <c:pt idx="74">
                  <c:v>50.47675604594555</c:v>
                </c:pt>
                <c:pt idx="75">
                  <c:v>52.474587436175227</c:v>
                </c:pt>
                <c:pt idx="76">
                  <c:v>54.473012002326854</c:v>
                </c:pt>
                <c:pt idx="77">
                  <c:v>56.471872011486965</c:v>
                </c:pt>
                <c:pt idx="78">
                  <c:v>58.47105021279279</c:v>
                </c:pt>
                <c:pt idx="79">
                  <c:v>60.470459917199321</c:v>
                </c:pt>
                <c:pt idx="80">
                  <c:v>62.470037358028833</c:v>
                </c:pt>
                <c:pt idx="81">
                  <c:v>64.469735856025423</c:v>
                </c:pt>
                <c:pt idx="82">
                  <c:v>66.469521396489284</c:v>
                </c:pt>
                <c:pt idx="83">
                  <c:v>68.469369300429165</c:v>
                </c:pt>
                <c:pt idx="84">
                  <c:v>70.46926173561684</c:v>
                </c:pt>
                <c:pt idx="85">
                  <c:v>72.469185867075353</c:v>
                </c:pt>
                <c:pt idx="86">
                  <c:v>74.469132490638046</c:v>
                </c:pt>
                <c:pt idx="87">
                  <c:v>76.469095028854667</c:v>
                </c:pt>
                <c:pt idx="88">
                  <c:v>78.469068796896181</c:v>
                </c:pt>
                <c:pt idx="89">
                  <c:v>80.469050468410956</c:v>
                </c:pt>
                <c:pt idx="90">
                  <c:v>82.469037688609603</c:v>
                </c:pt>
                <c:pt idx="91">
                  <c:v>84.469028795177735</c:v>
                </c:pt>
                <c:pt idx="92">
                  <c:v>86.469022617765759</c:v>
                </c:pt>
                <c:pt idx="93">
                  <c:v>88.469018334470903</c:v>
                </c:pt>
                <c:pt idx="94">
                  <c:v>90.469015369474533</c:v>
                </c:pt>
                <c:pt idx="95">
                  <c:v>92.469013320276034</c:v>
                </c:pt>
                <c:pt idx="96">
                  <c:v>94.469011906128031</c:v>
                </c:pt>
                <c:pt idx="97">
                  <c:v>96.46901093160433</c:v>
                </c:pt>
                <c:pt idx="98">
                  <c:v>98.469010260931171</c:v>
                </c:pt>
                <c:pt idx="99">
                  <c:v>100.46900979994984</c:v>
                </c:pt>
                <c:pt idx="100">
                  <c:v>102.46900948347353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024000"/>
        <c:axId val="199610976"/>
      </c:scatterChart>
      <c:valAx>
        <c:axId val="200024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610976"/>
        <c:crosses val="autoZero"/>
        <c:crossBetween val="midCat"/>
      </c:valAx>
      <c:valAx>
        <c:axId val="1996109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024000"/>
        <c:crosses val="autoZero"/>
        <c:crossBetween val="midCat"/>
      </c:valAx>
      <c:spPr>
        <a:solidFill>
          <a:srgbClr val="FFCC99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9935326045409372"/>
          <c:y val="0.92457650822844228"/>
          <c:w val="0.43689388341020474"/>
          <c:h val="5.83944160264638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740434332988625E-2"/>
          <c:y val="3.5593220338983052E-2"/>
          <c:w val="0.81075491209927608"/>
          <c:h val="0.92881355932203391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'Uncertain Vol.'!$O$1</c:f>
              <c:strCache>
                <c:ptCount val="1"/>
                <c:pt idx="0">
                  <c:v>Worst Case</c:v>
                </c:pt>
              </c:strCache>
            </c:strRef>
          </c:tx>
          <c:spPr>
            <a:ln w="38100">
              <a:solidFill>
                <a:srgbClr val="002060"/>
              </a:solidFill>
              <a:prstDash val="solid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Vol.'!$O$2:$O$101</c:f>
              <c:numCache>
                <c:formatCode>0.0000</c:formatCode>
                <c:ptCount val="100"/>
                <c:pt idx="0">
                  <c:v>0</c:v>
                </c:pt>
                <c:pt idx="1">
                  <c:v>6.5999928942209183E-41</c:v>
                </c:pt>
                <c:pt idx="2">
                  <c:v>1.2460186635953301E-37</c:v>
                </c:pt>
                <c:pt idx="3">
                  <c:v>7.8832618108765562E-35</c:v>
                </c:pt>
                <c:pt idx="4">
                  <c:v>2.4613143558263484E-32</c:v>
                </c:pt>
                <c:pt idx="5">
                  <c:v>4.5160446488446657E-30</c:v>
                </c:pt>
                <c:pt idx="6">
                  <c:v>5.3893947263842175E-28</c:v>
                </c:pt>
                <c:pt idx="7">
                  <c:v>4.4720694373077566E-26</c:v>
                </c:pt>
                <c:pt idx="8">
                  <c:v>2.7056427496266355E-24</c:v>
                </c:pt>
                <c:pt idx="9">
                  <c:v>1.2367088376263686E-22</c:v>
                </c:pt>
                <c:pt idx="10">
                  <c:v>4.3907170219930363E-21</c:v>
                </c:pt>
                <c:pt idx="11">
                  <c:v>1.2380819060867765E-19</c:v>
                </c:pt>
                <c:pt idx="12">
                  <c:v>2.8241320476253375E-18</c:v>
                </c:pt>
                <c:pt idx="13">
                  <c:v>5.2924799938537336E-17</c:v>
                </c:pt>
                <c:pt idx="14">
                  <c:v>8.2572455604461484E-16</c:v>
                </c:pt>
                <c:pt idx="15">
                  <c:v>1.0850273400968663E-14</c:v>
                </c:pt>
                <c:pt idx="16">
                  <c:v>1.213189406858208E-13</c:v>
                </c:pt>
                <c:pt idx="17">
                  <c:v>1.1649244973377972E-12</c:v>
                </c:pt>
                <c:pt idx="18">
                  <c:v>9.6869056117737397E-12</c:v>
                </c:pt>
                <c:pt idx="19">
                  <c:v>7.0297001366058543E-11</c:v>
                </c:pt>
                <c:pt idx="20">
                  <c:v>4.4839866767771508E-10</c:v>
                </c:pt>
                <c:pt idx="21">
                  <c:v>2.5309717956863414E-9</c:v>
                </c:pt>
                <c:pt idx="22">
                  <c:v>1.2722352913728187E-8</c:v>
                </c:pt>
                <c:pt idx="23">
                  <c:v>5.7297288384834033E-8</c:v>
                </c:pt>
                <c:pt idx="24">
                  <c:v>2.3254312982911199E-7</c:v>
                </c:pt>
                <c:pt idx="25">
                  <c:v>8.5524982188859132E-7</c:v>
                </c:pt>
                <c:pt idx="26">
                  <c:v>2.8656967880624489E-6</c:v>
                </c:pt>
                <c:pt idx="27">
                  <c:v>8.7934563300850459E-6</c:v>
                </c:pt>
                <c:pt idx="28">
                  <c:v>2.4833935410589716E-5</c:v>
                </c:pt>
                <c:pt idx="29">
                  <c:v>6.4859561849831996E-5</c:v>
                </c:pt>
                <c:pt idx="30">
                  <c:v>1.5738112517821692E-4</c:v>
                </c:pt>
                <c:pt idx="31">
                  <c:v>3.5637741633169184E-4</c:v>
                </c:pt>
                <c:pt idx="32">
                  <c:v>7.5630246995005796E-4</c:v>
                </c:pt>
                <c:pt idx="33">
                  <c:v>1.5103479880940872E-3</c:v>
                </c:pt>
                <c:pt idx="34">
                  <c:v>2.8493253727151077E-3</c:v>
                </c:pt>
                <c:pt idx="35">
                  <c:v>5.0967943605067139E-3</c:v>
                </c:pt>
                <c:pt idx="36">
                  <c:v>8.674983735857034E-3</c:v>
                </c:pt>
                <c:pt idx="37">
                  <c:v>1.4096279746250818E-2</c:v>
                </c:pt>
                <c:pt idx="38">
                  <c:v>2.1936926366095288E-2</c:v>
                </c:pt>
                <c:pt idx="39">
                  <c:v>3.2792874616037443E-2</c:v>
                </c:pt>
                <c:pt idx="40">
                  <c:v>4.7221681161481129E-2</c:v>
                </c:pt>
                <c:pt idx="41">
                  <c:v>6.5677922612835768E-2</c:v>
                </c:pt>
                <c:pt idx="42">
                  <c:v>8.8451746769961731E-2</c:v>
                </c:pt>
                <c:pt idx="43">
                  <c:v>0.11562031030834174</c:v>
                </c:pt>
                <c:pt idx="44">
                  <c:v>0.14701992954651852</c:v>
                </c:pt>
                <c:pt idx="45">
                  <c:v>0.18224333245192104</c:v>
                </c:pt>
                <c:pt idx="46">
                  <c:v>0.22066231832569777</c:v>
                </c:pt>
                <c:pt idx="47">
                  <c:v>0.26147231021054779</c:v>
                </c:pt>
                <c:pt idx="48">
                  <c:v>0.30375240870138259</c:v>
                </c:pt>
                <c:pt idx="49">
                  <c:v>0.34653298523963311</c:v>
                </c:pt>
                <c:pt idx="50">
                  <c:v>0.38911034920044441</c:v>
                </c:pt>
                <c:pt idx="51">
                  <c:v>0.4310957607556305</c:v>
                </c:pt>
                <c:pt idx="52">
                  <c:v>0.47214110105950752</c:v>
                </c:pt>
                <c:pt idx="53">
                  <c:v>0.51194357001037283</c:v>
                </c:pt>
                <c:pt idx="54">
                  <c:v>0.55024824743658363</c:v>
                </c:pt>
                <c:pt idx="55">
                  <c:v>0.58684873828893591</c:v>
                </c:pt>
                <c:pt idx="56">
                  <c:v>0.62158617892061474</c:v>
                </c:pt>
                <c:pt idx="57">
                  <c:v>0.65434691113661669</c:v>
                </c:pt>
                <c:pt idx="58">
                  <c:v>0.68505913709111188</c:v>
                </c:pt>
                <c:pt idx="59">
                  <c:v>0.71368885589575537</c:v>
                </c:pt>
                <c:pt idx="60">
                  <c:v>0.74023535688709818</c:v>
                </c:pt>
                <c:pt idx="61">
                  <c:v>0.76472650963311162</c:v>
                </c:pt>
                <c:pt idx="62">
                  <c:v>0.78721405116105536</c:v>
                </c:pt>
                <c:pt idx="63">
                  <c:v>0.80776903004950096</c:v>
                </c:pt>
                <c:pt idx="64">
                  <c:v>0.82647752761546722</c:v>
                </c:pt>
                <c:pt idx="65">
                  <c:v>0.84343674031186211</c:v>
                </c:pt>
                <c:pt idx="66">
                  <c:v>0.85875147578470512</c:v>
                </c:pt>
                <c:pt idx="67">
                  <c:v>0.87253108838591631</c:v>
                </c:pt>
                <c:pt idx="68">
                  <c:v>0.8848868584000843</c:v>
                </c:pt>
                <c:pt idx="69">
                  <c:v>0.89592980259786148</c:v>
                </c:pt>
                <c:pt idx="70">
                  <c:v>0.90576889153379092</c:v>
                </c:pt>
                <c:pt idx="71">
                  <c:v>0.9145096406984452</c:v>
                </c:pt>
                <c:pt idx="72">
                  <c:v>0.92225303759807942</c:v>
                </c:pt>
                <c:pt idx="73">
                  <c:v>0.929094764454379</c:v>
                </c:pt>
                <c:pt idx="74">
                  <c:v>0.93512467591302639</c:v>
                </c:pt>
                <c:pt idx="75">
                  <c:v>0.94042649240117082</c:v>
                </c:pt>
                <c:pt idx="76">
                  <c:v>0.94507767212809701</c:v>
                </c:pt>
                <c:pt idx="77">
                  <c:v>0.94914942780087608</c:v>
                </c:pt>
                <c:pt idx="78">
                  <c:v>0.95270685761914087</c:v>
                </c:pt>
                <c:pt idx="79">
                  <c:v>0.95580916377788749</c:v>
                </c:pt>
                <c:pt idx="80">
                  <c:v>0.95850993536064277</c:v>
                </c:pt>
                <c:pt idx="81">
                  <c:v>0.9608574760143237</c:v>
                </c:pt>
                <c:pt idx="82">
                  <c:v>0.96289516007075915</c:v>
                </c:pt>
                <c:pt idx="83">
                  <c:v>0.96466180376156896</c:v>
                </c:pt>
                <c:pt idx="84">
                  <c:v>0.96619204083332966</c:v>
                </c:pt>
                <c:pt idx="85">
                  <c:v>0.96751669419971142</c:v>
                </c:pt>
                <c:pt idx="86">
                  <c:v>0.9686631372727047</c:v>
                </c:pt>
                <c:pt idx="87">
                  <c:v>0.9696556403128388</c:v>
                </c:pt>
                <c:pt idx="88">
                  <c:v>0.97051569855200592</c:v>
                </c:pt>
                <c:pt idx="89">
                  <c:v>0.97126233999966838</c:v>
                </c:pt>
                <c:pt idx="90">
                  <c:v>0.97191241177311205</c:v>
                </c:pt>
                <c:pt idx="91">
                  <c:v>0.97248084452442041</c:v>
                </c:pt>
                <c:pt idx="92">
                  <c:v>0.97298089509929331</c:v>
                </c:pt>
                <c:pt idx="93">
                  <c:v>0.97342436798225529</c:v>
                </c:pt>
                <c:pt idx="94">
                  <c:v>0.9738218163833795</c:v>
                </c:pt>
                <c:pt idx="95">
                  <c:v>0.97418272402508543</c:v>
                </c:pt>
                <c:pt idx="96">
                  <c:v>0.97451566881289886</c:v>
                </c:pt>
                <c:pt idx="97">
                  <c:v>0.974828469637808</c:v>
                </c:pt>
                <c:pt idx="98">
                  <c:v>0.9751283175740918</c:v>
                </c:pt>
                <c:pt idx="99">
                  <c:v>0.97542189271707802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'Uncertain Vol.'!$P$1</c:f>
              <c:strCache>
                <c:ptCount val="1"/>
                <c:pt idx="0">
                  <c:v>Best Case</c:v>
                </c:pt>
              </c:strCache>
            </c:strRef>
          </c:tx>
          <c:spPr>
            <a:ln w="38100">
              <a:solidFill>
                <a:srgbClr val="00B0F0"/>
              </a:solidFill>
              <a:prstDash val="solid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Vol.'!$P$2:$P$101</c:f>
              <c:numCache>
                <c:formatCode>0.0000</c:formatCode>
                <c:ptCount val="100"/>
                <c:pt idx="0">
                  <c:v>0</c:v>
                </c:pt>
                <c:pt idx="1">
                  <c:v>8.439180566126974E-30</c:v>
                </c:pt>
                <c:pt idx="2">
                  <c:v>9.3311098560869905E-27</c:v>
                </c:pt>
                <c:pt idx="3">
                  <c:v>3.0024145466304735E-24</c:v>
                </c:pt>
                <c:pt idx="4">
                  <c:v>4.429153545729096E-22</c:v>
                </c:pt>
                <c:pt idx="5">
                  <c:v>3.6629299317025716E-20</c:v>
                </c:pt>
                <c:pt idx="6">
                  <c:v>1.9054674509255224E-18</c:v>
                </c:pt>
                <c:pt idx="7">
                  <c:v>6.7226935582013928E-17</c:v>
                </c:pt>
                <c:pt idx="8">
                  <c:v>1.6972132298728506E-15</c:v>
                </c:pt>
                <c:pt idx="9">
                  <c:v>3.1929680220743E-14</c:v>
                </c:pt>
                <c:pt idx="10">
                  <c:v>4.622539551804347E-13</c:v>
                </c:pt>
                <c:pt idx="11">
                  <c:v>5.2879317307629288E-12</c:v>
                </c:pt>
                <c:pt idx="12">
                  <c:v>4.8883259117164865E-11</c:v>
                </c:pt>
                <c:pt idx="13">
                  <c:v>3.72376563596227E-10</c:v>
                </c:pt>
                <c:pt idx="14">
                  <c:v>2.3783147983616754E-9</c:v>
                </c:pt>
                <c:pt idx="15">
                  <c:v>1.2935457939712045E-8</c:v>
                </c:pt>
                <c:pt idx="16">
                  <c:v>6.0766009012966164E-8</c:v>
                </c:pt>
                <c:pt idx="17">
                  <c:v>2.4975711317990884E-7</c:v>
                </c:pt>
                <c:pt idx="18">
                  <c:v>9.088585896044854E-7</c:v>
                </c:pt>
                <c:pt idx="19">
                  <c:v>2.9601375585623226E-6</c:v>
                </c:pt>
                <c:pt idx="20">
                  <c:v>8.7153301929903514E-6</c:v>
                </c:pt>
                <c:pt idx="21">
                  <c:v>2.3407764492898838E-5</c:v>
                </c:pt>
                <c:pt idx="22">
                  <c:v>5.7828154313816793E-5</c:v>
                </c:pt>
                <c:pt idx="23">
                  <c:v>1.3240213521709696E-4</c:v>
                </c:pt>
                <c:pt idx="24">
                  <c:v>2.828761727001285E-4</c:v>
                </c:pt>
                <c:pt idx="25">
                  <c:v>5.6745625939128724E-4</c:v>
                </c:pt>
                <c:pt idx="26">
                  <c:v>1.0748167958096546E-3</c:v>
                </c:pt>
                <c:pt idx="27">
                  <c:v>1.9319636786185596E-3</c:v>
                </c:pt>
                <c:pt idx="28">
                  <c:v>3.3106187739334355E-3</c:v>
                </c:pt>
                <c:pt idx="29">
                  <c:v>5.4306995795183229E-3</c:v>
                </c:pt>
                <c:pt idx="30">
                  <c:v>8.5596529901942765E-3</c:v>
                </c:pt>
                <c:pt idx="31">
                  <c:v>1.300685080539769E-2</c:v>
                </c:pt>
                <c:pt idx="32">
                  <c:v>1.9112887323807226E-2</c:v>
                </c:pt>
                <c:pt idx="33">
                  <c:v>2.7234315543383892E-2</c:v>
                </c:pt>
                <c:pt idx="34">
                  <c:v>3.77249893012684E-2</c:v>
                </c:pt>
                <c:pt idx="35">
                  <c:v>5.0915637341290676E-2</c:v>
                </c:pt>
                <c:pt idx="36">
                  <c:v>6.7093517198530739E-2</c:v>
                </c:pt>
                <c:pt idx="37">
                  <c:v>8.6483966495523368E-2</c:v>
                </c:pt>
                <c:pt idx="38">
                  <c:v>0.10923541538082825</c:v>
                </c:pt>
                <c:pt idx="39">
                  <c:v>0.13540900610310316</c:v>
                </c:pt>
                <c:pt idx="40">
                  <c:v>0.1649734588305041</c:v>
                </c:pt>
                <c:pt idx="41">
                  <c:v>0.19780530164126442</c:v>
                </c:pt>
                <c:pt idx="42">
                  <c:v>0.23369411084780381</c:v>
                </c:pt>
                <c:pt idx="43">
                  <c:v>0.27235203139871839</c:v>
                </c:pt>
                <c:pt idx="44">
                  <c:v>0.31342659174745052</c:v>
                </c:pt>
                <c:pt idx="45">
                  <c:v>0.35651569973481778</c:v>
                </c:pt>
                <c:pt idx="46">
                  <c:v>0.40118369614261995</c:v>
                </c:pt>
                <c:pt idx="47">
                  <c:v>0.4469774296466314</c:v>
                </c:pt>
                <c:pt idx="48">
                  <c:v>0.49344147356508583</c:v>
                </c:pt>
                <c:pt idx="49">
                  <c:v>0.54013180209816047</c:v>
                </c:pt>
                <c:pt idx="50">
                  <c:v>0.58639016383841069</c:v>
                </c:pt>
                <c:pt idx="51">
                  <c:v>0.63133979370546145</c:v>
                </c:pt>
                <c:pt idx="52">
                  <c:v>0.67422208742500656</c:v>
                </c:pt>
                <c:pt idx="53">
                  <c:v>0.71442685310344722</c:v>
                </c:pt>
                <c:pt idx="54">
                  <c:v>0.75150666801725119</c:v>
                </c:pt>
                <c:pt idx="55">
                  <c:v>0.78517713011183032</c:v>
                </c:pt>
                <c:pt idx="56">
                  <c:v>0.81530583411294988</c:v>
                </c:pt>
                <c:pt idx="57">
                  <c:v>0.84189335521493158</c:v>
                </c:pt>
                <c:pt idx="58">
                  <c:v>0.8650495021057536</c:v>
                </c:pt>
                <c:pt idx="59">
                  <c:v>0.88496774192008687</c:v>
                </c:pt>
                <c:pt idx="60">
                  <c:v>0.90190013818387538</c:v>
                </c:pt>
                <c:pt idx="61">
                  <c:v>0.91613449856580942</c:v>
                </c:pt>
                <c:pt idx="62">
                  <c:v>0.92797479664072879</c:v>
                </c:pt>
                <c:pt idx="63">
                  <c:v>0.93772537587361038</c:v>
                </c:pt>
                <c:pt idx="64">
                  <c:v>0.94567900087475043</c:v>
                </c:pt>
                <c:pt idx="65">
                  <c:v>0.95210850242393086</c:v>
                </c:pt>
                <c:pt idx="66">
                  <c:v>0.95726156248515182</c:v>
                </c:pt>
                <c:pt idx="67">
                  <c:v>0.96135808582209947</c:v>
                </c:pt>
                <c:pt idx="68">
                  <c:v>0.96458958302547593</c:v>
                </c:pt>
                <c:pt idx="69">
                  <c:v>0.96712002229387461</c:v>
                </c:pt>
                <c:pt idx="70">
                  <c:v>0.96908767306858312</c:v>
                </c:pt>
                <c:pt idx="71">
                  <c:v>0.97060754647060576</c:v>
                </c:pt>
                <c:pt idx="72">
                  <c:v>0.97177412273191832</c:v>
                </c:pt>
                <c:pt idx="73">
                  <c:v>0.97266413595663981</c:v>
                </c:pt>
                <c:pt idx="74">
                  <c:v>0.97333925663866683</c:v>
                </c:pt>
                <c:pt idx="75">
                  <c:v>0.97384857017798399</c:v>
                </c:pt>
                <c:pt idx="76">
                  <c:v>0.97423079488124431</c:v>
                </c:pt>
                <c:pt idx="77">
                  <c:v>0.97451621652969889</c:v>
                </c:pt>
                <c:pt idx="78">
                  <c:v>0.97472834014183207</c:v>
                </c:pt>
                <c:pt idx="79">
                  <c:v>0.97488527490146204</c:v>
                </c:pt>
                <c:pt idx="80">
                  <c:v>0.97500087720468664</c:v>
                </c:pt>
                <c:pt idx="81">
                  <c:v>0.97508568106656512</c:v>
                </c:pt>
                <c:pt idx="82">
                  <c:v>0.97514764613189819</c:v>
                </c:pt>
                <c:pt idx="83">
                  <c:v>0.97519275238690528</c:v>
                </c:pt>
                <c:pt idx="84">
                  <c:v>0.97522546823708678</c:v>
                </c:pt>
                <c:pt idx="85">
                  <c:v>0.9752491155341767</c:v>
                </c:pt>
                <c:pt idx="86">
                  <c:v>0.97526615184101006</c:v>
                </c:pt>
                <c:pt idx="87">
                  <c:v>0.9752783870037931</c:v>
                </c:pt>
                <c:pt idx="88">
                  <c:v>0.97528714812810535</c:v>
                </c:pt>
                <c:pt idx="89">
                  <c:v>0.97529340441664425</c:v>
                </c:pt>
                <c:pt idx="90">
                  <c:v>0.97529786105519078</c:v>
                </c:pt>
                <c:pt idx="91">
                  <c:v>0.9753010294238954</c:v>
                </c:pt>
                <c:pt idx="92">
                  <c:v>0.97530327933736904</c:v>
                </c:pt>
                <c:pt idx="93">
                  <c:v>0.97530487774163355</c:v>
                </c:pt>
                <c:pt idx="94">
                  <c:v>0.97530601727703858</c:v>
                </c:pt>
                <c:pt idx="95">
                  <c:v>0.97530683731249046</c:v>
                </c:pt>
                <c:pt idx="96">
                  <c:v>0.97530743942949438</c:v>
                </c:pt>
                <c:pt idx="97">
                  <c:v>0.97530789885068137</c:v>
                </c:pt>
                <c:pt idx="98">
                  <c:v>0.97530827293761124</c:v>
                </c:pt>
                <c:pt idx="99">
                  <c:v>0.97530860760239846</c:v>
                </c:pt>
              </c:numCache>
            </c:numRef>
          </c:yVal>
          <c:smooth val="1"/>
        </c:ser>
        <c:ser>
          <c:idx val="3"/>
          <c:order val="2"/>
          <c:tx>
            <c:strRef>
              <c:f>'Uncertain Vol.'!$Q$1</c:f>
              <c:strCache>
                <c:ptCount val="1"/>
                <c:pt idx="0">
                  <c:v>Const Vol+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Vol.'!$Q$2:$Q$101</c:f>
              <c:numCache>
                <c:formatCode>0.0000</c:formatCode>
                <c:ptCount val="100"/>
                <c:pt idx="0">
                  <c:v>0</c:v>
                </c:pt>
                <c:pt idx="1">
                  <c:v>2.8469608456769175E-29</c:v>
                </c:pt>
                <c:pt idx="2">
                  <c:v>2.7984028060444071E-26</c:v>
                </c:pt>
                <c:pt idx="3">
                  <c:v>8.0401872655617652E-24</c:v>
                </c:pt>
                <c:pt idx="4">
                  <c:v>1.0641048017496917E-21</c:v>
                </c:pt>
                <c:pt idx="5">
                  <c:v>7.9348226710877384E-20</c:v>
                </c:pt>
                <c:pt idx="6">
                  <c:v>3.7415897790099209E-18</c:v>
                </c:pt>
                <c:pt idx="7">
                  <c:v>1.2032672821429476E-16</c:v>
                </c:pt>
                <c:pt idx="8">
                  <c:v>2.7851094315051376E-15</c:v>
                </c:pt>
                <c:pt idx="9">
                  <c:v>4.8327823267387782E-14</c:v>
                </c:pt>
                <c:pt idx="10">
                  <c:v>6.4931125475793996E-13</c:v>
                </c:pt>
                <c:pt idx="11">
                  <c:v>6.9364038657813055E-12</c:v>
                </c:pt>
                <c:pt idx="12">
                  <c:v>6.0254777916618596E-11</c:v>
                </c:pt>
                <c:pt idx="13">
                  <c:v>4.3397656631423163E-10</c:v>
                </c:pt>
                <c:pt idx="14">
                  <c:v>2.6363403569271915E-9</c:v>
                </c:pt>
                <c:pt idx="15">
                  <c:v>1.3716645824003039E-8</c:v>
                </c:pt>
                <c:pt idx="16">
                  <c:v>6.1973412317907725E-8</c:v>
                </c:pt>
                <c:pt idx="17">
                  <c:v>2.4621783207207712E-7</c:v>
                </c:pt>
                <c:pt idx="18">
                  <c:v>8.7006064957807724E-7</c:v>
                </c:pt>
                <c:pt idx="19">
                  <c:v>2.7632366059108677E-6</c:v>
                </c:pt>
                <c:pt idx="20">
                  <c:v>7.9624954890120631E-6</c:v>
                </c:pt>
                <c:pt idx="21">
                  <c:v>2.0999067667156451E-5</c:v>
                </c:pt>
                <c:pt idx="22">
                  <c:v>5.1084435161721125E-5</c:v>
                </c:pt>
                <c:pt idx="23">
                  <c:v>1.1545690972022434E-4</c:v>
                </c:pt>
                <c:pt idx="24">
                  <c:v>2.4401169632162238E-4</c:v>
                </c:pt>
                <c:pt idx="25">
                  <c:v>4.8507944256955926E-4</c:v>
                </c:pt>
                <c:pt idx="26">
                  <c:v>9.1187890820879016E-4</c:v>
                </c:pt>
                <c:pt idx="27">
                  <c:v>1.6288250102857696E-3</c:v>
                </c:pt>
                <c:pt idx="28">
                  <c:v>2.7766204118528683E-3</c:v>
                </c:pt>
                <c:pt idx="29">
                  <c:v>4.5349820775147948E-3</c:v>
                </c:pt>
                <c:pt idx="30">
                  <c:v>7.1219992643420495E-3</c:v>
                </c:pt>
                <c:pt idx="31">
                  <c:v>1.0789477026180029E-2</c:v>
                </c:pt>
                <c:pt idx="32">
                  <c:v>1.5814128278877494E-2</c:v>
                </c:pt>
                <c:pt idx="33">
                  <c:v>2.2485042420567886E-2</c:v>
                </c:pt>
                <c:pt idx="34">
                  <c:v>3.1088375330889113E-2</c:v>
                </c:pt>
                <c:pt idx="35">
                  <c:v>4.1890586062971372E-2</c:v>
                </c:pt>
                <c:pt idx="36">
                  <c:v>5.5121734499412808E-2</c:v>
                </c:pt>
                <c:pt idx="37">
                  <c:v>7.0960336278386396E-2</c:v>
                </c:pt>
                <c:pt idx="38">
                  <c:v>8.9521067748659158E-2</c:v>
                </c:pt>
                <c:pt idx="39">
                  <c:v>0.11084627264833334</c:v>
                </c:pt>
                <c:pt idx="40">
                  <c:v>0.13490180529424189</c:v>
                </c:pt>
                <c:pt idx="41">
                  <c:v>0.16157731484810486</c:v>
                </c:pt>
                <c:pt idx="42">
                  <c:v>0.1906906851161384</c:v>
                </c:pt>
                <c:pt idx="43">
                  <c:v>0.22199603260828735</c:v>
                </c:pt>
                <c:pt idx="44">
                  <c:v>0.25519445322199003</c:v>
                </c:pt>
                <c:pt idx="45">
                  <c:v>0.28994659971090919</c:v>
                </c:pt>
                <c:pt idx="46">
                  <c:v>0.32588615981679375</c:v>
                </c:pt>
                <c:pt idx="47">
                  <c:v>0.36263337150031782</c:v>
                </c:pt>
                <c:pt idx="48">
                  <c:v>0.39980783541846537</c:v>
                </c:pt>
                <c:pt idx="49">
                  <c:v>0.43704004304840838</c:v>
                </c:pt>
                <c:pt idx="50">
                  <c:v>0.47398121087612111</c:v>
                </c:pt>
                <c:pt idx="51">
                  <c:v>0.51031117967778172</c:v>
                </c:pt>
                <c:pt idx="52">
                  <c:v>0.54574429038735817</c:v>
                </c:pt>
                <c:pt idx="53">
                  <c:v>0.58003327616356359</c:v>
                </c:pt>
                <c:pt idx="54">
                  <c:v>0.61297130995238414</c:v>
                </c:pt>
                <c:pt idx="55">
                  <c:v>0.64439241737360575</c:v>
                </c:pt>
                <c:pt idx="56">
                  <c:v>0.67417050794410804</c:v>
                </c:pt>
                <c:pt idx="57">
                  <c:v>0.70221729695399615</c:v>
                </c:pt>
                <c:pt idx="58">
                  <c:v>0.72847939010710805</c:v>
                </c:pt>
                <c:pt idx="59">
                  <c:v>0.75293478799002789</c:v>
                </c:pt>
                <c:pt idx="60">
                  <c:v>0.77558904204410084</c:v>
                </c:pt>
                <c:pt idx="61">
                  <c:v>0.79647126201520735</c:v>
                </c:pt>
                <c:pt idx="62">
                  <c:v>0.8156301402372842</c:v>
                </c:pt>
                <c:pt idx="63">
                  <c:v>0.83313012325041835</c:v>
                </c:pt>
                <c:pt idx="64">
                  <c:v>0.84904782814675517</c:v>
                </c:pt>
                <c:pt idx="65">
                  <c:v>0.86346877102414166</c:v>
                </c:pt>
                <c:pt idx="66">
                  <c:v>0.87648444880875931</c:v>
                </c:pt>
                <c:pt idx="67">
                  <c:v>0.88818979384183272</c:v>
                </c:pt>
                <c:pt idx="68">
                  <c:v>0.89868100303110809</c:v>
                </c:pt>
                <c:pt idx="69">
                  <c:v>0.90805372982197941</c:v>
                </c:pt>
                <c:pt idx="70">
                  <c:v>0.91640161736364001</c:v>
                </c:pt>
                <c:pt idx="71">
                  <c:v>0.92381514455974445</c:v>
                </c:pt>
                <c:pt idx="72">
                  <c:v>0.93038075269125875</c:v>
                </c:pt>
                <c:pt idx="73">
                  <c:v>0.93618021847473154</c:v>
                </c:pt>
                <c:pt idx="74">
                  <c:v>0.94129023929565336</c:v>
                </c:pt>
                <c:pt idx="75">
                  <c:v>0.94578219750482473</c:v>
                </c:pt>
                <c:pt idx="76">
                  <c:v>0.94972207271330467</c:v>
                </c:pt>
                <c:pt idx="77">
                  <c:v>0.95317047365585461</c:v>
                </c:pt>
                <c:pt idx="78">
                  <c:v>0.95618276415958947</c:v>
                </c:pt>
                <c:pt idx="79">
                  <c:v>0.95880926085394125</c:v>
                </c:pt>
                <c:pt idx="80">
                  <c:v>0.96109548333865735</c:v>
                </c:pt>
                <c:pt idx="81">
                  <c:v>0.96308244047890024</c:v>
                </c:pt>
                <c:pt idx="82">
                  <c:v>0.96480693924606931</c:v>
                </c:pt>
                <c:pt idx="83">
                  <c:v>0.96630190502364199</c:v>
                </c:pt>
                <c:pt idx="84">
                  <c:v>0.96759670452541435</c:v>
                </c:pt>
                <c:pt idx="85">
                  <c:v>0.9687174644223574</c:v>
                </c:pt>
                <c:pt idx="86">
                  <c:v>0.96968738044973268</c:v>
                </c:pt>
                <c:pt idx="87">
                  <c:v>0.97052701318267587</c:v>
                </c:pt>
                <c:pt idx="88">
                  <c:v>0.97125456784633379</c:v>
                </c:pt>
                <c:pt idx="89">
                  <c:v>0.97188615648925047</c:v>
                </c:pt>
                <c:pt idx="90">
                  <c:v>0.97243604162081776</c:v>
                </c:pt>
                <c:pt idx="91">
                  <c:v>0.97291686102006059</c:v>
                </c:pt>
                <c:pt idx="92">
                  <c:v>0.97333983388769008</c:v>
                </c:pt>
                <c:pt idx="93">
                  <c:v>0.97371494885853638</c:v>
                </c:pt>
                <c:pt idx="94">
                  <c:v>0.97405113463751025</c:v>
                </c:pt>
                <c:pt idx="95">
                  <c:v>0.97435641418732211</c:v>
                </c:pt>
                <c:pt idx="96">
                  <c:v>0.97463804349630645</c:v>
                </c:pt>
                <c:pt idx="97">
                  <c:v>0.97490263600366334</c:v>
                </c:pt>
                <c:pt idx="98">
                  <c:v>0.97515627376903635</c:v>
                </c:pt>
                <c:pt idx="99">
                  <c:v>0.97540460645350413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'Uncertain Vol.'!$R$1</c:f>
              <c:strCache>
                <c:ptCount val="1"/>
                <c:pt idx="0">
                  <c:v>Const Vol-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Vol.'!$R$2:$R$101</c:f>
              <c:numCache>
                <c:formatCode>0.0000</c:formatCode>
                <c:ptCount val="100"/>
                <c:pt idx="0">
                  <c:v>0</c:v>
                </c:pt>
                <c:pt idx="1">
                  <c:v>9.8333276650028909E-42</c:v>
                </c:pt>
                <c:pt idx="2">
                  <c:v>2.1246789974367519E-38</c:v>
                </c:pt>
                <c:pt idx="3">
                  <c:v>1.5324398589953763E-35</c:v>
                </c:pt>
                <c:pt idx="4">
                  <c:v>5.4325735835289068E-33</c:v>
                </c:pt>
                <c:pt idx="5">
                  <c:v>1.1271049325852272E-30</c:v>
                </c:pt>
                <c:pt idx="6">
                  <c:v>1.5145152638345574E-28</c:v>
                </c:pt>
                <c:pt idx="7">
                  <c:v>1.408908158962121E-26</c:v>
                </c:pt>
                <c:pt idx="8">
                  <c:v>9.5137370760019889E-25</c:v>
                </c:pt>
                <c:pt idx="9">
                  <c:v>4.8314182914656649E-23</c:v>
                </c:pt>
                <c:pt idx="10">
                  <c:v>1.8969000184893488E-21</c:v>
                </c:pt>
                <c:pt idx="11">
                  <c:v>5.8869908796606814E-20</c:v>
                </c:pt>
                <c:pt idx="12">
                  <c:v>1.4708165039226892E-18</c:v>
                </c:pt>
                <c:pt idx="13">
                  <c:v>3.0041581187741855E-17</c:v>
                </c:pt>
                <c:pt idx="14">
                  <c:v>5.083015920614388E-16</c:v>
                </c:pt>
                <c:pt idx="15">
                  <c:v>7.2071218672916961E-15</c:v>
                </c:pt>
                <c:pt idx="16">
                  <c:v>8.6513817452525631E-14</c:v>
                </c:pt>
                <c:pt idx="17">
                  <c:v>8.8734022056785264E-13</c:v>
                </c:pt>
                <c:pt idx="18">
                  <c:v>7.841946130475175E-12</c:v>
                </c:pt>
                <c:pt idx="19">
                  <c:v>6.0180686629940482E-11</c:v>
                </c:pt>
                <c:pt idx="20">
                  <c:v>4.0396142958558704E-10</c:v>
                </c:pt>
                <c:pt idx="21">
                  <c:v>2.3880602475648454E-9</c:v>
                </c:pt>
                <c:pt idx="22">
                  <c:v>1.251421006950886E-8</c:v>
                </c:pt>
                <c:pt idx="23">
                  <c:v>5.8496100111616994E-8</c:v>
                </c:pt>
                <c:pt idx="24">
                  <c:v>2.453741787817257E-7</c:v>
                </c:pt>
                <c:pt idx="25">
                  <c:v>9.2904221520028428E-7</c:v>
                </c:pt>
                <c:pt idx="26">
                  <c:v>3.192959088179189E-6</c:v>
                </c:pt>
                <c:pt idx="27">
                  <c:v>1.0015516625744881E-5</c:v>
                </c:pt>
                <c:pt idx="28">
                  <c:v>2.8825111675702651E-5</c:v>
                </c:pt>
                <c:pt idx="29">
                  <c:v>7.6507706762930655E-5</c:v>
                </c:pt>
                <c:pt idx="30">
                  <c:v>1.8819823694429458E-4</c:v>
                </c:pt>
                <c:pt idx="31">
                  <c:v>4.3108144960674164E-4</c:v>
                </c:pt>
                <c:pt idx="32">
                  <c:v>9.2365192790442089E-4</c:v>
                </c:pt>
                <c:pt idx="33">
                  <c:v>1.8592870663584856E-3</c:v>
                </c:pt>
                <c:pt idx="34">
                  <c:v>3.5307580563708322E-3</c:v>
                </c:pt>
                <c:pt idx="35">
                  <c:v>6.3500471990295066E-3</c:v>
                </c:pt>
                <c:pt idx="36">
                  <c:v>1.0856446367080323E-2</c:v>
                </c:pt>
                <c:pt idx="37">
                  <c:v>1.7706226175402726E-2</c:v>
                </c:pt>
                <c:pt idx="38">
                  <c:v>2.7639590031120615E-2</c:v>
                </c:pt>
                <c:pt idx="39">
                  <c:v>4.1424858482587229E-2</c:v>
                </c:pt>
                <c:pt idx="40">
                  <c:v>5.9784879428052128E-2</c:v>
                </c:pt>
                <c:pt idx="41">
                  <c:v>8.3315166498488816E-2</c:v>
                </c:pt>
                <c:pt idx="42">
                  <c:v>0.11240596079555043</c:v>
                </c:pt>
                <c:pt idx="43">
                  <c:v>0.14718053537649087</c:v>
                </c:pt>
                <c:pt idx="44">
                  <c:v>0.18745959665277701</c:v>
                </c:pt>
                <c:pt idx="45">
                  <c:v>0.23275724858709471</c:v>
                </c:pt>
                <c:pt idx="46">
                  <c:v>0.28230876832116253</c:v>
                </c:pt>
                <c:pt idx="47">
                  <c:v>0.33512556677257627</c:v>
                </c:pt>
                <c:pt idx="48">
                  <c:v>0.39006910978967979</c:v>
                </c:pt>
                <c:pt idx="49">
                  <c:v>0.44593376502940391</c:v>
                </c:pt>
                <c:pt idx="50">
                  <c:v>0.5015285650430773</c:v>
                </c:pt>
                <c:pt idx="51">
                  <c:v>0.55574941093105479</c:v>
                </c:pt>
                <c:pt idx="52">
                  <c:v>0.60763573638663837</c:v>
                </c:pt>
                <c:pt idx="53">
                  <c:v>0.65640850821905172</c:v>
                </c:pt>
                <c:pt idx="54">
                  <c:v>0.70148913479160235</c:v>
                </c:pt>
                <c:pt idx="55">
                  <c:v>0.74250102400598983</c:v>
                </c:pt>
                <c:pt idx="56">
                  <c:v>0.77925699400451787</c:v>
                </c:pt>
                <c:pt idx="57">
                  <c:v>0.81173647045117925</c:v>
                </c:pt>
                <c:pt idx="58">
                  <c:v>0.84005649919718806</c:v>
                </c:pt>
                <c:pt idx="59">
                  <c:v>0.86444022333162129</c:v>
                </c:pt>
                <c:pt idx="60">
                  <c:v>0.88518579971034217</c:v>
                </c:pt>
                <c:pt idx="61">
                  <c:v>0.90263792821495514</c:v>
                </c:pt>
                <c:pt idx="62">
                  <c:v>0.91716336881723348</c:v>
                </c:pt>
                <c:pt idx="63">
                  <c:v>0.92913111647347579</c:v>
                </c:pt>
                <c:pt idx="64">
                  <c:v>0.93889734093035593</c:v>
                </c:pt>
                <c:pt idx="65">
                  <c:v>0.94679479338202444</c:v>
                </c:pt>
                <c:pt idx="66">
                  <c:v>0.95312612645721095</c:v>
                </c:pt>
                <c:pt idx="67">
                  <c:v>0.95816044570960557</c:v>
                </c:pt>
                <c:pt idx="68">
                  <c:v>0.962132380635358</c:v>
                </c:pt>
                <c:pt idx="69">
                  <c:v>0.96524300162118915</c:v>
                </c:pt>
                <c:pt idx="70">
                  <c:v>0.96766198961156136</c:v>
                </c:pt>
                <c:pt idx="71">
                  <c:v>0.96953056617283795</c:v>
                </c:pt>
                <c:pt idx="72">
                  <c:v>0.97096479711012207</c:v>
                </c:pt>
                <c:pt idx="73">
                  <c:v>0.97205898219468623</c:v>
                </c:pt>
                <c:pt idx="74">
                  <c:v>0.9728889306497196</c:v>
                </c:pt>
                <c:pt idx="75">
                  <c:v>0.97351499399391939</c:v>
                </c:pt>
                <c:pt idx="76">
                  <c:v>0.97398478423851376</c:v>
                </c:pt>
                <c:pt idx="77">
                  <c:v>0.97433554738940809</c:v>
                </c:pt>
                <c:pt idx="78">
                  <c:v>0.9745961916770739</c:v>
                </c:pt>
                <c:pt idx="79">
                  <c:v>0.97478898920869983</c:v>
                </c:pt>
                <c:pt idx="80">
                  <c:v>0.97493098108756615</c:v>
                </c:pt>
                <c:pt idx="81">
                  <c:v>0.97503512153912097</c:v>
                </c:pt>
                <c:pt idx="82">
                  <c:v>0.97511119797412971</c:v>
                </c:pt>
                <c:pt idx="83">
                  <c:v>0.97516656261524703</c:v>
                </c:pt>
                <c:pt idx="84">
                  <c:v>0.97520670839378476</c:v>
                </c:pt>
                <c:pt idx="85">
                  <c:v>0.9752357180773531</c:v>
                </c:pt>
                <c:pt idx="86">
                  <c:v>0.97525661156465282</c:v>
                </c:pt>
                <c:pt idx="87">
                  <c:v>0.97527161233930559</c:v>
                </c:pt>
                <c:pt idx="88">
                  <c:v>0.97528235042538669</c:v>
                </c:pt>
                <c:pt idx="89">
                  <c:v>0.97529001594532871</c:v>
                </c:pt>
                <c:pt idx="90">
                  <c:v>0.97529547458740795</c:v>
                </c:pt>
                <c:pt idx="91">
                  <c:v>0.97529935394066525</c:v>
                </c:pt>
                <c:pt idx="92">
                  <c:v>0.97530210771822046</c:v>
                </c:pt>
                <c:pt idx="93">
                  <c:v>0.97530406331970532</c:v>
                </c:pt>
                <c:pt idx="94">
                  <c:v>0.97530545692892701</c:v>
                </c:pt>
                <c:pt idx="95">
                  <c:v>0.97530645935317217</c:v>
                </c:pt>
                <c:pt idx="96">
                  <c:v>0.97530719503871965</c:v>
                </c:pt>
                <c:pt idx="97">
                  <c:v>0.97530775610143772</c:v>
                </c:pt>
                <c:pt idx="98">
                  <c:v>0.97530821275599466</c:v>
                </c:pt>
                <c:pt idx="99">
                  <c:v>0.97530862118227968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27208"/>
        <c:axId val="200127600"/>
      </c:scatterChart>
      <c:valAx>
        <c:axId val="200127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127600"/>
        <c:crosses val="autoZero"/>
        <c:crossBetween val="midCat"/>
      </c:valAx>
      <c:valAx>
        <c:axId val="200127600"/>
        <c:scaling>
          <c:orientation val="minMax"/>
        </c:scaling>
        <c:delete val="0"/>
        <c:axPos val="l"/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1272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728021432554094"/>
          <c:y val="0.42881354116449732"/>
          <c:w val="0.10858319394013571"/>
          <c:h val="0.1440678843715964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47625</xdr:rowOff>
    </xdr:from>
    <xdr:to>
      <xdr:col>14</xdr:col>
      <xdr:colOff>447675</xdr:colOff>
      <xdr:row>20</xdr:row>
      <xdr:rowOff>38100</xdr:rowOff>
    </xdr:to>
    <xdr:graphicFrame macro="">
      <xdr:nvGraphicFramePr>
        <xdr:cNvPr id="313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742950</xdr:colOff>
      <xdr:row>20</xdr:row>
      <xdr:rowOff>114300</xdr:rowOff>
    </xdr:from>
    <xdr:to>
      <xdr:col>14</xdr:col>
      <xdr:colOff>447675</xdr:colOff>
      <xdr:row>40</xdr:row>
      <xdr:rowOff>142875</xdr:rowOff>
    </xdr:to>
    <xdr:graphicFrame macro="">
      <xdr:nvGraphicFramePr>
        <xdr:cNvPr id="313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18</xdr:row>
      <xdr:rowOff>0</xdr:rowOff>
    </xdr:from>
    <xdr:to>
      <xdr:col>6</xdr:col>
      <xdr:colOff>714375</xdr:colOff>
      <xdr:row>37</xdr:row>
      <xdr:rowOff>104775</xdr:rowOff>
    </xdr:to>
    <xdr:graphicFrame macro="">
      <xdr:nvGraphicFramePr>
        <xdr:cNvPr id="5177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11</xdr:row>
      <xdr:rowOff>47625</xdr:rowOff>
    </xdr:from>
    <xdr:to>
      <xdr:col>8</xdr:col>
      <xdr:colOff>400050</xdr:colOff>
      <xdr:row>35</xdr:row>
      <xdr:rowOff>76200</xdr:rowOff>
    </xdr:to>
    <xdr:graphicFrame macro="">
      <xdr:nvGraphicFramePr>
        <xdr:cNvPr id="106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01150" cy="55911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110"/>
  <sheetViews>
    <sheetView workbookViewId="0">
      <selection activeCell="E9" sqref="E9"/>
    </sheetView>
  </sheetViews>
  <sheetFormatPr defaultRowHeight="12.75" x14ac:dyDescent="0.2"/>
  <cols>
    <col min="1" max="2" width="10.7109375" style="7" bestFit="1" customWidth="1"/>
    <col min="3" max="3" width="9.140625" style="7"/>
    <col min="4" max="4" width="16.42578125" style="7" bestFit="1" customWidth="1"/>
    <col min="5" max="5" width="13.42578125" style="7" bestFit="1" customWidth="1"/>
    <col min="6" max="6" width="16.140625" style="7" bestFit="1" customWidth="1"/>
    <col min="7" max="7" width="11.28515625" style="7" bestFit="1" customWidth="1"/>
    <col min="8" max="11" width="9.140625" style="7"/>
    <col min="12" max="15" width="12.42578125" style="7" bestFit="1" customWidth="1"/>
    <col min="16" max="16384" width="9.140625" style="7"/>
  </cols>
  <sheetData>
    <row r="1" spans="1:21" x14ac:dyDescent="0.2">
      <c r="A1" s="9" t="s">
        <v>3</v>
      </c>
      <c r="B1" s="7">
        <v>100</v>
      </c>
      <c r="E1" s="10" t="s">
        <v>31</v>
      </c>
      <c r="F1" s="15">
        <f ca="1">F110</f>
        <v>111.09108668380918</v>
      </c>
    </row>
    <row r="2" spans="1:21" x14ac:dyDescent="0.2">
      <c r="A2" s="9" t="s">
        <v>4</v>
      </c>
      <c r="B2" s="7">
        <v>100</v>
      </c>
      <c r="E2" s="10" t="s">
        <v>30</v>
      </c>
      <c r="F2" s="7">
        <f ca="1">(F1-IF(B110&gt;B2,1,0)*B2)*EXP(-B3*B5)</f>
        <v>10.55016800332734</v>
      </c>
    </row>
    <row r="3" spans="1:21" x14ac:dyDescent="0.2">
      <c r="A3" s="9" t="s">
        <v>18</v>
      </c>
      <c r="B3" s="8">
        <v>0.05</v>
      </c>
      <c r="E3" s="7" t="s">
        <v>21</v>
      </c>
      <c r="F3" s="7">
        <f>CallOption(B1,B4,0,B3,B2,B6)</f>
        <v>10.450575666859251</v>
      </c>
    </row>
    <row r="4" spans="1:21" x14ac:dyDescent="0.2">
      <c r="A4" s="9" t="s">
        <v>19</v>
      </c>
      <c r="B4" s="7">
        <v>0.2</v>
      </c>
    </row>
    <row r="5" spans="1:21" x14ac:dyDescent="0.2">
      <c r="A5" s="9" t="s">
        <v>20</v>
      </c>
      <c r="B5" s="11">
        <v>1</v>
      </c>
    </row>
    <row r="6" spans="1:21" x14ac:dyDescent="0.2">
      <c r="A6" s="9" t="s">
        <v>22</v>
      </c>
      <c r="B6" s="7">
        <v>1</v>
      </c>
    </row>
    <row r="8" spans="1:21" x14ac:dyDescent="0.2">
      <c r="L8" s="7" t="s">
        <v>53</v>
      </c>
      <c r="M8" s="7" t="s">
        <v>54</v>
      </c>
      <c r="N8" s="7" t="s">
        <v>53</v>
      </c>
      <c r="O8" s="7" t="s">
        <v>54</v>
      </c>
    </row>
    <row r="9" spans="1:21" x14ac:dyDescent="0.2">
      <c r="A9" s="12" t="s">
        <v>24</v>
      </c>
      <c r="B9" s="12" t="s">
        <v>25</v>
      </c>
      <c r="C9" s="12" t="s">
        <v>23</v>
      </c>
      <c r="D9" s="12" t="s">
        <v>26</v>
      </c>
      <c r="E9" s="12" t="s">
        <v>27</v>
      </c>
      <c r="F9" s="12" t="s">
        <v>28</v>
      </c>
      <c r="G9" s="12" t="s">
        <v>29</v>
      </c>
      <c r="H9" s="12"/>
      <c r="I9" s="12"/>
      <c r="J9" s="12"/>
      <c r="K9" s="12" t="s">
        <v>32</v>
      </c>
      <c r="L9" s="12" t="s">
        <v>23</v>
      </c>
      <c r="M9" s="12" t="s">
        <v>33</v>
      </c>
      <c r="N9" s="12" t="s">
        <v>34</v>
      </c>
      <c r="O9" s="12" t="s">
        <v>35</v>
      </c>
      <c r="P9" s="12"/>
      <c r="Q9" s="12"/>
      <c r="R9" s="12"/>
      <c r="S9" s="12"/>
      <c r="T9" s="12"/>
      <c r="U9" s="12"/>
    </row>
    <row r="10" spans="1:21" x14ac:dyDescent="0.2">
      <c r="A10" s="12">
        <v>0</v>
      </c>
      <c r="B10" s="12">
        <v>100</v>
      </c>
      <c r="C10" s="13">
        <f>CallDelta(B10,$B$4,0,$B$3,$B$2,$B$5-A10)</f>
        <v>0.63683058735763587</v>
      </c>
      <c r="D10" s="14">
        <f>C10*$B$6</f>
        <v>0.63683058735763587</v>
      </c>
      <c r="E10" s="14">
        <f>D10*B10</f>
        <v>63.683058735763588</v>
      </c>
      <c r="F10" s="14">
        <f>E10</f>
        <v>63.683058735763588</v>
      </c>
      <c r="G10" s="14">
        <f>F10*(EXP($B$3*$A$11)-1)</f>
        <v>3.1849491077114489E-2</v>
      </c>
      <c r="H10" s="12"/>
      <c r="I10" s="12"/>
      <c r="J10" s="12"/>
      <c r="K10" s="12">
        <v>1</v>
      </c>
      <c r="L10" s="12">
        <f>CallDelta(K10,0.2,0,$B$3,50,$B$5)</f>
        <v>0</v>
      </c>
      <c r="M10" s="12">
        <f>CallDelta(K10,0.3,0,$B$3,50,$B$5)</f>
        <v>0</v>
      </c>
      <c r="N10" s="12">
        <f>CallGamma(K10,0.2,0,0.05,50,1)</f>
        <v>1.4667471845310054E-80</v>
      </c>
      <c r="O10" s="12">
        <f>CallGamma(K10,0.3,0,0.05,50,1)</f>
        <v>9.3513094644738522E-36</v>
      </c>
      <c r="P10" s="12"/>
      <c r="Q10" s="12"/>
      <c r="R10" s="12"/>
      <c r="S10" s="12"/>
      <c r="T10" s="12"/>
      <c r="U10" s="12"/>
    </row>
    <row r="11" spans="1:21" x14ac:dyDescent="0.2">
      <c r="A11" s="12">
        <v>0.01</v>
      </c>
      <c r="B11" s="12">
        <f ca="1">B10*EXP(($B$3-0.5*$B$4^2)*$A$11+$B$4*NORMSINV(RAND())*SQRT($A$11))</f>
        <v>100.79801756980405</v>
      </c>
      <c r="C11" s="13">
        <f ca="1">CallDelta(B11,$B$4,0,$B$3,$B$2,$B$5-A11)</f>
        <v>0.6510616137432953</v>
      </c>
      <c r="D11" s="14">
        <f ca="1">(C11-C10)*$B$6</f>
        <v>1.4231026385659429E-2</v>
      </c>
      <c r="E11" s="14">
        <f ca="1">D11*B11</f>
        <v>1.434459247658044</v>
      </c>
      <c r="F11" s="14">
        <f ca="1">F10+G10+E11</f>
        <v>65.149367474498746</v>
      </c>
      <c r="G11" s="14">
        <f ca="1">F11*(EXP($B$3*$A$11)-1)</f>
        <v>3.2582828765626196E-2</v>
      </c>
      <c r="H11" s="12"/>
      <c r="I11" s="12"/>
      <c r="J11" s="12"/>
      <c r="K11" s="12">
        <v>2</v>
      </c>
      <c r="L11" s="12">
        <f t="shared" ref="L11:L74" si="0">CallDelta(K11,0.2,0,$B$3,50,$B$5)</f>
        <v>0</v>
      </c>
      <c r="M11" s="12">
        <f t="shared" ref="M11:M74" si="1">CallDelta(K11,0.3,0,$B$3,50,$B$5)</f>
        <v>0</v>
      </c>
      <c r="N11" s="12">
        <f t="shared" ref="N11:N74" si="2">CallGamma(K11,0.2,0,0.05,50,1)</f>
        <v>1.4832123218170342E-54</v>
      </c>
      <c r="O11" s="12">
        <f t="shared" ref="O11:O74" si="3">CallGamma(K11,0.3,0,0.05,50,1)</f>
        <v>1.8955024462412303E-24</v>
      </c>
      <c r="P11" s="12"/>
      <c r="Q11" s="12"/>
      <c r="R11" s="12"/>
      <c r="S11" s="12"/>
      <c r="T11" s="12"/>
      <c r="U11" s="12"/>
    </row>
    <row r="12" spans="1:21" x14ac:dyDescent="0.2">
      <c r="A12" s="12">
        <v>0.02</v>
      </c>
      <c r="B12" s="12">
        <f t="shared" ref="B12:B75" ca="1" si="4">B11*EXP(($B$3-0.5*$B$4^2)*$A$11+$B$4*NORMSINV(RAND())*SQRT($A$11))</f>
        <v>98.694844572441724</v>
      </c>
      <c r="C12" s="13">
        <f t="shared" ref="C12:C75" ca="1" si="5">CallDelta(B12,$B$4,0,$B$3,$B$2,$B$5-A12)</f>
        <v>0.61031030595524793</v>
      </c>
      <c r="D12" s="14">
        <f t="shared" ref="D12:D75" ca="1" si="6">(C12-C11)*$B$6</f>
        <v>-4.0751307788047364E-2</v>
      </c>
      <c r="E12" s="14">
        <f t="shared" ref="E12:E75" ca="1" si="7">D12*B12</f>
        <v>-4.0219439882650683</v>
      </c>
      <c r="F12" s="14">
        <f t="shared" ref="F12:F75" ca="1" si="8">F11+G11+E12</f>
        <v>61.160006314999308</v>
      </c>
      <c r="G12" s="14">
        <f t="shared" ref="G12:G75" ca="1" si="9">F12*(EXP($B$3*$A$11)-1)</f>
        <v>3.0587649432609807E-2</v>
      </c>
      <c r="H12" s="12"/>
      <c r="I12" s="12"/>
      <c r="J12" s="12"/>
      <c r="K12" s="12">
        <v>3</v>
      </c>
      <c r="L12" s="12">
        <f t="shared" si="0"/>
        <v>0</v>
      </c>
      <c r="M12" s="12">
        <f t="shared" si="1"/>
        <v>0</v>
      </c>
      <c r="N12" s="12">
        <f t="shared" si="2"/>
        <v>9.2228259651448531E-42</v>
      </c>
      <c r="O12" s="12">
        <f t="shared" si="3"/>
        <v>6.5622542169361188E-19</v>
      </c>
      <c r="P12" s="12"/>
      <c r="Q12" s="12"/>
      <c r="R12" s="12"/>
      <c r="S12" s="12"/>
      <c r="T12" s="12"/>
      <c r="U12" s="12"/>
    </row>
    <row r="13" spans="1:21" x14ac:dyDescent="0.2">
      <c r="A13" s="12">
        <v>0.03</v>
      </c>
      <c r="B13" s="12">
        <f t="shared" ca="1" si="4"/>
        <v>97.360621525565122</v>
      </c>
      <c r="C13" s="13">
        <f t="shared" ca="1" si="5"/>
        <v>0.58274299606606106</v>
      </c>
      <c r="D13" s="14">
        <f t="shared" ca="1" si="6"/>
        <v>-2.7567309889186875E-2</v>
      </c>
      <c r="E13" s="14">
        <f t="shared" ca="1" si="7"/>
        <v>-2.6839704245990919</v>
      </c>
      <c r="F13" s="14">
        <f t="shared" ca="1" si="8"/>
        <v>58.50662353983283</v>
      </c>
      <c r="G13" s="14">
        <f t="shared" ca="1" si="9"/>
        <v>2.9260626316894182E-2</v>
      </c>
      <c r="H13" s="12"/>
      <c r="I13" s="12"/>
      <c r="J13" s="12"/>
      <c r="K13" s="12">
        <v>4</v>
      </c>
      <c r="L13" s="12">
        <f t="shared" si="0"/>
        <v>0</v>
      </c>
      <c r="M13" s="12">
        <f t="shared" si="1"/>
        <v>2.2204460492503131E-16</v>
      </c>
      <c r="N13" s="12">
        <f t="shared" si="2"/>
        <v>9.1116927607545552E-34</v>
      </c>
      <c r="O13" s="12">
        <f t="shared" si="3"/>
        <v>1.845665593182787E-15</v>
      </c>
      <c r="P13" s="12"/>
      <c r="Q13" s="12"/>
      <c r="R13" s="12"/>
      <c r="S13" s="12"/>
      <c r="T13" s="12"/>
      <c r="U13" s="12"/>
    </row>
    <row r="14" spans="1:21" x14ac:dyDescent="0.2">
      <c r="A14" s="12">
        <v>0.04</v>
      </c>
      <c r="B14" s="12">
        <f t="shared" ca="1" si="4"/>
        <v>94.327015104925962</v>
      </c>
      <c r="C14" s="13">
        <f t="shared" ca="1" si="5"/>
        <v>0.51790426710289983</v>
      </c>
      <c r="D14" s="14">
        <f t="shared" ca="1" si="6"/>
        <v>-6.483872896316123E-2</v>
      </c>
      <c r="E14" s="14">
        <f t="shared" ca="1" si="7"/>
        <v>-6.1160437662923099</v>
      </c>
      <c r="F14" s="14">
        <f t="shared" ca="1" si="8"/>
        <v>52.419840399857414</v>
      </c>
      <c r="G14" s="14">
        <f t="shared" ca="1" si="9"/>
        <v>2.6216473772190673E-2</v>
      </c>
      <c r="H14" s="12"/>
      <c r="I14" s="12"/>
      <c r="J14" s="12"/>
      <c r="K14" s="12">
        <v>5</v>
      </c>
      <c r="L14" s="12">
        <f t="shared" si="0"/>
        <v>0</v>
      </c>
      <c r="M14" s="12">
        <f t="shared" si="1"/>
        <v>9.3591800975900696E-14</v>
      </c>
      <c r="N14" s="12">
        <f t="shared" si="2"/>
        <v>3.4833400254312645E-28</v>
      </c>
      <c r="O14" s="12">
        <f t="shared" si="3"/>
        <v>4.63937969853768E-13</v>
      </c>
      <c r="P14" s="12"/>
      <c r="Q14" s="12"/>
      <c r="R14" s="12"/>
      <c r="S14" s="12"/>
      <c r="T14" s="12"/>
      <c r="U14" s="12"/>
    </row>
    <row r="15" spans="1:21" x14ac:dyDescent="0.2">
      <c r="A15" s="12">
        <v>0.05</v>
      </c>
      <c r="B15" s="12">
        <f t="shared" ca="1" si="4"/>
        <v>93.118261777839152</v>
      </c>
      <c r="C15" s="13">
        <f t="shared" ca="1" si="5"/>
        <v>0.49017787066066854</v>
      </c>
      <c r="D15" s="14">
        <f t="shared" ca="1" si="6"/>
        <v>-2.7726396442231294E-2</v>
      </c>
      <c r="E15" s="14">
        <f t="shared" ca="1" si="7"/>
        <v>-2.5818338420638418</v>
      </c>
      <c r="F15" s="14">
        <f t="shared" ca="1" si="8"/>
        <v>49.864223031565757</v>
      </c>
      <c r="G15" s="14">
        <f t="shared" ca="1" si="9"/>
        <v>2.4938345582625344E-2</v>
      </c>
      <c r="H15" s="12"/>
      <c r="I15" s="12"/>
      <c r="J15" s="12"/>
      <c r="K15" s="12">
        <v>6</v>
      </c>
      <c r="L15" s="12">
        <f t="shared" si="0"/>
        <v>0</v>
      </c>
      <c r="M15" s="12">
        <f t="shared" si="1"/>
        <v>7.3894224073001169E-12</v>
      </c>
      <c r="N15" s="12">
        <f t="shared" si="2"/>
        <v>5.0330444123797472E-24</v>
      </c>
      <c r="O15" s="12">
        <f t="shared" si="3"/>
        <v>2.8137859311844562E-11</v>
      </c>
      <c r="P15" s="12"/>
      <c r="Q15" s="12"/>
      <c r="R15" s="12"/>
      <c r="S15" s="12"/>
      <c r="T15" s="12"/>
      <c r="U15" s="12"/>
    </row>
    <row r="16" spans="1:21" x14ac:dyDescent="0.2">
      <c r="A16" s="12">
        <v>0.06</v>
      </c>
      <c r="B16" s="12">
        <f t="shared" ca="1" si="4"/>
        <v>92.997561154114507</v>
      </c>
      <c r="C16" s="13">
        <f t="shared" ca="1" si="5"/>
        <v>0.4860189141807888</v>
      </c>
      <c r="D16" s="14">
        <f t="shared" ca="1" si="6"/>
        <v>-4.1589564798797385E-3</v>
      </c>
      <c r="E16" s="14">
        <f t="shared" ca="1" si="7"/>
        <v>-0.38677280957491678</v>
      </c>
      <c r="F16" s="14">
        <f t="shared" ca="1" si="8"/>
        <v>49.502388567573469</v>
      </c>
      <c r="G16" s="14">
        <f t="shared" ca="1" si="9"/>
        <v>2.4757383113782071E-2</v>
      </c>
      <c r="H16" s="12"/>
      <c r="I16" s="12"/>
      <c r="J16" s="12"/>
      <c r="K16" s="12">
        <v>7</v>
      </c>
      <c r="L16" s="12">
        <f t="shared" si="0"/>
        <v>0</v>
      </c>
      <c r="M16" s="12">
        <f t="shared" si="1"/>
        <v>2.2389456955096421E-10</v>
      </c>
      <c r="N16" s="12">
        <f t="shared" si="2"/>
        <v>8.65663985954206E-21</v>
      </c>
      <c r="O16" s="12">
        <f t="shared" si="3"/>
        <v>6.7843824732748464E-10</v>
      </c>
      <c r="P16" s="12"/>
      <c r="Q16" s="12"/>
      <c r="R16" s="12"/>
      <c r="S16" s="12"/>
      <c r="T16" s="12"/>
      <c r="U16" s="12"/>
    </row>
    <row r="17" spans="1:21" x14ac:dyDescent="0.2">
      <c r="A17" s="12">
        <v>7.0000000000000007E-2</v>
      </c>
      <c r="B17" s="12">
        <f t="shared" ca="1" si="4"/>
        <v>97.963797762128564</v>
      </c>
      <c r="C17" s="13">
        <f t="shared" ca="1" si="5"/>
        <v>0.59129048653448024</v>
      </c>
      <c r="D17" s="14">
        <f t="shared" ca="1" si="6"/>
        <v>0.10527157235369144</v>
      </c>
      <c r="E17" s="14">
        <f t="shared" ca="1" si="7"/>
        <v>10.312803024158313</v>
      </c>
      <c r="F17" s="14">
        <f t="shared" ca="1" si="8"/>
        <v>59.839948974845562</v>
      </c>
      <c r="G17" s="14">
        <f t="shared" ca="1" si="9"/>
        <v>2.9927455727860895E-2</v>
      </c>
      <c r="H17" s="12"/>
      <c r="I17" s="12"/>
      <c r="J17" s="12"/>
      <c r="K17" s="12">
        <v>8</v>
      </c>
      <c r="L17" s="12">
        <f t="shared" si="0"/>
        <v>0</v>
      </c>
      <c r="M17" s="12">
        <f t="shared" si="1"/>
        <v>3.4896862066702283E-9</v>
      </c>
      <c r="N17" s="12">
        <f t="shared" si="2"/>
        <v>3.4004977419795095E-18</v>
      </c>
      <c r="O17" s="12">
        <f t="shared" si="3"/>
        <v>8.6329341907822425E-9</v>
      </c>
      <c r="P17" s="12"/>
      <c r="Q17" s="12"/>
      <c r="R17" s="12"/>
      <c r="S17" s="12"/>
      <c r="T17" s="12"/>
      <c r="U17" s="12"/>
    </row>
    <row r="18" spans="1:21" x14ac:dyDescent="0.2">
      <c r="A18" s="12">
        <v>0.08</v>
      </c>
      <c r="B18" s="12">
        <f t="shared" ca="1" si="4"/>
        <v>98.465675276319345</v>
      </c>
      <c r="C18" s="13">
        <f t="shared" ca="1" si="5"/>
        <v>0.60067935072792877</v>
      </c>
      <c r="D18" s="14">
        <f t="shared" ca="1" si="6"/>
        <v>9.3888641934485317E-3</v>
      </c>
      <c r="E18" s="14">
        <f t="shared" ca="1" si="7"/>
        <v>0.92448085288556503</v>
      </c>
      <c r="F18" s="14">
        <f t="shared" ca="1" si="8"/>
        <v>60.794357283458986</v>
      </c>
      <c r="G18" s="14">
        <f t="shared" ca="1" si="9"/>
        <v>3.0404779203092095E-2</v>
      </c>
      <c r="H18" s="12"/>
      <c r="I18" s="12"/>
      <c r="J18" s="12"/>
      <c r="K18" s="12">
        <v>9</v>
      </c>
      <c r="L18" s="12">
        <f t="shared" si="0"/>
        <v>1.1102230246251565E-16</v>
      </c>
      <c r="M18" s="12">
        <f t="shared" si="1"/>
        <v>3.3521387998725061E-8</v>
      </c>
      <c r="N18" s="12">
        <f t="shared" si="2"/>
        <v>4.5613240132109011E-16</v>
      </c>
      <c r="O18" s="12">
        <f t="shared" si="3"/>
        <v>6.9041212429100357E-8</v>
      </c>
      <c r="P18" s="12"/>
      <c r="Q18" s="12"/>
      <c r="R18" s="12"/>
      <c r="S18" s="12"/>
      <c r="T18" s="12"/>
      <c r="U18" s="12"/>
    </row>
    <row r="19" spans="1:21" x14ac:dyDescent="0.2">
      <c r="A19" s="12">
        <v>0.09</v>
      </c>
      <c r="B19" s="12">
        <f t="shared" ca="1" si="4"/>
        <v>96.993510945918388</v>
      </c>
      <c r="C19" s="13">
        <f t="shared" ca="1" si="5"/>
        <v>0.56901949861399148</v>
      </c>
      <c r="D19" s="14">
        <f t="shared" ca="1" si="6"/>
        <v>-3.1659852113937292E-2</v>
      </c>
      <c r="E19" s="14">
        <f t="shared" ca="1" si="7"/>
        <v>-3.0708002125593343</v>
      </c>
      <c r="F19" s="14">
        <f t="shared" ca="1" si="8"/>
        <v>57.753961850102741</v>
      </c>
      <c r="G19" s="14">
        <f t="shared" ca="1" si="9"/>
        <v>2.8884201373635576E-2</v>
      </c>
      <c r="H19" s="12"/>
      <c r="I19" s="12"/>
      <c r="J19" s="12"/>
      <c r="K19" s="12">
        <v>10</v>
      </c>
      <c r="L19" s="12">
        <f t="shared" si="0"/>
        <v>6.9944050551384862E-15</v>
      </c>
      <c r="M19" s="12">
        <f t="shared" si="1"/>
        <v>2.234516504051598E-7</v>
      </c>
      <c r="N19" s="12">
        <f t="shared" si="2"/>
        <v>2.7202995928914712E-14</v>
      </c>
      <c r="O19" s="12">
        <f t="shared" si="3"/>
        <v>3.8913451304134903E-7</v>
      </c>
      <c r="P19" s="12"/>
      <c r="Q19" s="12"/>
      <c r="R19" s="12"/>
      <c r="S19" s="12"/>
      <c r="T19" s="12"/>
      <c r="U19" s="12"/>
    </row>
    <row r="20" spans="1:21" x14ac:dyDescent="0.2">
      <c r="A20" s="12">
        <v>0.1</v>
      </c>
      <c r="B20" s="12">
        <f t="shared" ca="1" si="4"/>
        <v>97.746212942907746</v>
      </c>
      <c r="C20" s="13">
        <f t="shared" ca="1" si="5"/>
        <v>0.58390553250017407</v>
      </c>
      <c r="D20" s="14">
        <f t="shared" ca="1" si="6"/>
        <v>1.4886033886182592E-2</v>
      </c>
      <c r="E20" s="14">
        <f t="shared" ca="1" si="7"/>
        <v>1.4550534381141442</v>
      </c>
      <c r="F20" s="14">
        <f t="shared" ca="1" si="8"/>
        <v>59.237899489590518</v>
      </c>
      <c r="G20" s="14">
        <f t="shared" ca="1" si="9"/>
        <v>2.9626355716503502E-2</v>
      </c>
      <c r="H20" s="12"/>
      <c r="I20" s="12"/>
      <c r="J20" s="12"/>
      <c r="K20" s="12">
        <v>11</v>
      </c>
      <c r="L20" s="12">
        <f t="shared" si="0"/>
        <v>2.6056934387952424E-13</v>
      </c>
      <c r="M20" s="12">
        <f t="shared" si="1"/>
        <v>1.1215899876626523E-6</v>
      </c>
      <c r="N20" s="12">
        <f t="shared" si="2"/>
        <v>8.6486130928556197E-13</v>
      </c>
      <c r="O20" s="12">
        <f t="shared" si="3"/>
        <v>1.6722759725207615E-6</v>
      </c>
      <c r="P20" s="12"/>
      <c r="Q20" s="12"/>
      <c r="R20" s="12"/>
      <c r="S20" s="12"/>
      <c r="T20" s="12"/>
      <c r="U20" s="12"/>
    </row>
    <row r="21" spans="1:21" x14ac:dyDescent="0.2">
      <c r="A21" s="12">
        <v>0.11</v>
      </c>
      <c r="B21" s="12">
        <f t="shared" ca="1" si="4"/>
        <v>98.538173994260433</v>
      </c>
      <c r="C21" s="13">
        <f t="shared" ca="1" si="5"/>
        <v>0.59953384619271266</v>
      </c>
      <c r="D21" s="14">
        <f t="shared" ca="1" si="6"/>
        <v>1.5628313692538587E-2</v>
      </c>
      <c r="E21" s="14">
        <f t="shared" ca="1" si="7"/>
        <v>1.5399854938722499</v>
      </c>
      <c r="F21" s="14">
        <f t="shared" ca="1" si="8"/>
        <v>60.807511339179271</v>
      </c>
      <c r="G21" s="14">
        <f t="shared" ca="1" si="9"/>
        <v>3.0411357875483276E-2</v>
      </c>
      <c r="H21" s="12"/>
      <c r="I21" s="12"/>
      <c r="J21" s="12"/>
      <c r="K21" s="12">
        <v>12</v>
      </c>
      <c r="L21" s="12">
        <f t="shared" si="0"/>
        <v>5.8144600245668698E-12</v>
      </c>
      <c r="M21" s="12">
        <f t="shared" si="1"/>
        <v>4.4936909499027067E-6</v>
      </c>
      <c r="N21" s="12">
        <f t="shared" si="2"/>
        <v>1.6685729273419633E-11</v>
      </c>
      <c r="O21" s="12">
        <f t="shared" si="3"/>
        <v>5.7956987588703274E-6</v>
      </c>
      <c r="P21" s="12"/>
      <c r="Q21" s="12"/>
      <c r="R21" s="12"/>
      <c r="S21" s="12"/>
      <c r="T21" s="12"/>
      <c r="U21" s="12"/>
    </row>
    <row r="22" spans="1:21" x14ac:dyDescent="0.2">
      <c r="A22" s="12">
        <v>0.12</v>
      </c>
      <c r="B22" s="12">
        <f t="shared" ca="1" si="4"/>
        <v>102.07968131925385</v>
      </c>
      <c r="C22" s="13">
        <f t="shared" ca="1" si="5"/>
        <v>0.66932117792866119</v>
      </c>
      <c r="D22" s="14">
        <f t="shared" ca="1" si="6"/>
        <v>6.9787331735948532E-2</v>
      </c>
      <c r="E22" s="14">
        <f t="shared" ca="1" si="7"/>
        <v>7.1238685837266766</v>
      </c>
      <c r="F22" s="14">
        <f t="shared" ca="1" si="8"/>
        <v>67.961791280781441</v>
      </c>
      <c r="G22" s="14">
        <f t="shared" ca="1" si="9"/>
        <v>3.3989392280342576E-2</v>
      </c>
      <c r="H22" s="12"/>
      <c r="I22" s="12"/>
      <c r="J22" s="12"/>
      <c r="K22" s="12">
        <v>13</v>
      </c>
      <c r="L22" s="12">
        <f t="shared" si="0"/>
        <v>8.588596500658241E-11</v>
      </c>
      <c r="M22" s="12">
        <f t="shared" si="1"/>
        <v>1.5001631506583735E-5</v>
      </c>
      <c r="N22" s="12">
        <f t="shared" si="2"/>
        <v>2.1488593814393596E-10</v>
      </c>
      <c r="O22" s="12">
        <f t="shared" si="3"/>
        <v>1.6881449720864291E-5</v>
      </c>
      <c r="P22" s="12"/>
      <c r="Q22" s="12"/>
      <c r="R22" s="12"/>
      <c r="S22" s="12"/>
      <c r="T22" s="12"/>
      <c r="U22" s="12"/>
    </row>
    <row r="23" spans="1:21" x14ac:dyDescent="0.2">
      <c r="A23" s="12">
        <v>0.13</v>
      </c>
      <c r="B23" s="12">
        <f t="shared" ca="1" si="4"/>
        <v>99.333182204251855</v>
      </c>
      <c r="C23" s="13">
        <f t="shared" ca="1" si="5"/>
        <v>0.61431876831263199</v>
      </c>
      <c r="D23" s="14">
        <f t="shared" ca="1" si="6"/>
        <v>-5.5002409616029202E-2</v>
      </c>
      <c r="E23" s="14">
        <f t="shared" ca="1" si="7"/>
        <v>-5.4635643760619228</v>
      </c>
      <c r="F23" s="14">
        <f t="shared" ca="1" si="8"/>
        <v>62.532216296999863</v>
      </c>
      <c r="G23" s="14">
        <f t="shared" ca="1" si="9"/>
        <v>3.1273925978448996E-2</v>
      </c>
      <c r="H23" s="12"/>
      <c r="I23" s="12"/>
      <c r="J23" s="12"/>
      <c r="K23" s="12">
        <v>14</v>
      </c>
      <c r="L23" s="12">
        <f t="shared" si="0"/>
        <v>9.0364526972308568E-10</v>
      </c>
      <c r="M23" s="12">
        <f t="shared" si="1"/>
        <v>4.3104020269302268E-5</v>
      </c>
      <c r="N23" s="12">
        <f t="shared" si="2"/>
        <v>1.9850174008860989E-9</v>
      </c>
      <c r="O23" s="12">
        <f t="shared" si="3"/>
        <v>4.2630979673924602E-5</v>
      </c>
      <c r="P23" s="12"/>
      <c r="Q23" s="12"/>
      <c r="R23" s="12"/>
      <c r="S23" s="12"/>
      <c r="T23" s="12"/>
      <c r="U23" s="12"/>
    </row>
    <row r="24" spans="1:21" x14ac:dyDescent="0.2">
      <c r="A24" s="12">
        <v>0.14000000000000001</v>
      </c>
      <c r="B24" s="12">
        <f t="shared" ca="1" si="4"/>
        <v>96.053101544882281</v>
      </c>
      <c r="C24" s="13">
        <f t="shared" ca="1" si="5"/>
        <v>0.54278830572996262</v>
      </c>
      <c r="D24" s="14">
        <f t="shared" ca="1" si="6"/>
        <v>-7.1530462582669374E-2</v>
      </c>
      <c r="E24" s="14">
        <f t="shared" ca="1" si="7"/>
        <v>-6.870722786005544</v>
      </c>
      <c r="F24" s="14">
        <f t="shared" ca="1" si="8"/>
        <v>55.692767436972765</v>
      </c>
      <c r="G24" s="14">
        <f t="shared" ca="1" si="9"/>
        <v>2.7853346474822207E-2</v>
      </c>
      <c r="H24" s="12"/>
      <c r="I24" s="12"/>
      <c r="J24" s="12"/>
      <c r="K24" s="12">
        <v>15</v>
      </c>
      <c r="L24" s="12">
        <f t="shared" si="0"/>
        <v>7.1656917066675874E-9</v>
      </c>
      <c r="M24" s="12">
        <f t="shared" si="1"/>
        <v>1.0929405628967714E-4</v>
      </c>
      <c r="N24" s="12">
        <f t="shared" si="2"/>
        <v>1.390204583551274E-8</v>
      </c>
      <c r="O24" s="12">
        <f t="shared" si="3"/>
        <v>9.5598537451950689E-5</v>
      </c>
      <c r="P24" s="12"/>
      <c r="Q24" s="12"/>
      <c r="R24" s="12"/>
      <c r="S24" s="12"/>
      <c r="T24" s="12"/>
      <c r="U24" s="12"/>
    </row>
    <row r="25" spans="1:21" x14ac:dyDescent="0.2">
      <c r="A25" s="12">
        <v>0.15</v>
      </c>
      <c r="B25" s="12">
        <f t="shared" ca="1" si="4"/>
        <v>92.953067162827637</v>
      </c>
      <c r="C25" s="13">
        <f t="shared" ca="1" si="5"/>
        <v>0.47065498076036716</v>
      </c>
      <c r="D25" s="14">
        <f t="shared" ca="1" si="6"/>
        <v>-7.2133324969595458E-2</v>
      </c>
      <c r="E25" s="14">
        <f t="shared" ca="1" si="7"/>
        <v>-6.7050138005768787</v>
      </c>
      <c r="F25" s="14">
        <f t="shared" ca="1" si="8"/>
        <v>49.015606982870707</v>
      </c>
      <c r="G25" s="14">
        <f t="shared" ca="1" si="9"/>
        <v>2.4513931463590096E-2</v>
      </c>
      <c r="H25" s="12"/>
      <c r="I25" s="12"/>
      <c r="J25" s="12"/>
      <c r="K25" s="12">
        <v>16</v>
      </c>
      <c r="L25" s="12">
        <f t="shared" si="0"/>
        <v>4.4766706341903273E-8</v>
      </c>
      <c r="M25" s="12">
        <f t="shared" si="1"/>
        <v>2.494013148720553E-4</v>
      </c>
      <c r="N25" s="12">
        <f t="shared" si="2"/>
        <v>7.7096310557461305E-8</v>
      </c>
      <c r="O25" s="12">
        <f t="shared" si="3"/>
        <v>1.939726912886698E-4</v>
      </c>
      <c r="P25" s="12"/>
      <c r="Q25" s="12"/>
      <c r="R25" s="12"/>
      <c r="S25" s="12"/>
      <c r="T25" s="12"/>
      <c r="U25" s="12"/>
    </row>
    <row r="26" spans="1:21" x14ac:dyDescent="0.2">
      <c r="A26" s="12">
        <v>0.16</v>
      </c>
      <c r="B26" s="12">
        <f t="shared" ca="1" si="4"/>
        <v>92.07458616875293</v>
      </c>
      <c r="C26" s="13">
        <f t="shared" ca="1" si="5"/>
        <v>0.44840873075997412</v>
      </c>
      <c r="D26" s="14">
        <f t="shared" ca="1" si="6"/>
        <v>-2.2246250000393042E-2</v>
      </c>
      <c r="E26" s="14">
        <f t="shared" ca="1" si="7"/>
        <v>-2.0483142625928092</v>
      </c>
      <c r="F26" s="14">
        <f t="shared" ca="1" si="8"/>
        <v>46.991806651741484</v>
      </c>
      <c r="G26" s="14">
        <f t="shared" ca="1" si="9"/>
        <v>2.3501778280816489E-2</v>
      </c>
      <c r="H26" s="12"/>
      <c r="I26" s="12"/>
      <c r="J26" s="12"/>
      <c r="K26" s="12">
        <v>17</v>
      </c>
      <c r="L26" s="12">
        <f t="shared" si="0"/>
        <v>2.2826822931865109E-7</v>
      </c>
      <c r="M26" s="12">
        <f t="shared" si="1"/>
        <v>5.2026358292245334E-4</v>
      </c>
      <c r="N26" s="12">
        <f t="shared" si="2"/>
        <v>3.5049281945268328E-7</v>
      </c>
      <c r="O26" s="12">
        <f t="shared" si="3"/>
        <v>3.6148202896418656E-4</v>
      </c>
      <c r="P26" s="12"/>
      <c r="Q26" s="12"/>
      <c r="R26" s="12"/>
      <c r="S26" s="12"/>
      <c r="T26" s="12"/>
      <c r="U26" s="12"/>
    </row>
    <row r="27" spans="1:21" x14ac:dyDescent="0.2">
      <c r="A27" s="12">
        <v>0.17</v>
      </c>
      <c r="B27" s="12">
        <f t="shared" ca="1" si="4"/>
        <v>92.871425626327166</v>
      </c>
      <c r="C27" s="13">
        <f t="shared" ca="1" si="5"/>
        <v>0.46533129891414871</v>
      </c>
      <c r="D27" s="14">
        <f t="shared" ca="1" si="6"/>
        <v>1.6922568154174589E-2</v>
      </c>
      <c r="E27" s="14">
        <f t="shared" ca="1" si="7"/>
        <v>1.5716230297368778</v>
      </c>
      <c r="F27" s="14">
        <f t="shared" ca="1" si="8"/>
        <v>48.586931459759178</v>
      </c>
      <c r="G27" s="14">
        <f t="shared" ca="1" si="9"/>
        <v>2.4299540108662122E-2</v>
      </c>
      <c r="H27" s="12"/>
      <c r="I27" s="12"/>
      <c r="J27" s="12"/>
      <c r="K27" s="12">
        <v>18</v>
      </c>
      <c r="L27" s="12">
        <f t="shared" si="0"/>
        <v>9.7756866723752722E-7</v>
      </c>
      <c r="M27" s="12">
        <f t="shared" si="1"/>
        <v>1.0047749110009274E-3</v>
      </c>
      <c r="N27" s="12">
        <f t="shared" si="2"/>
        <v>1.34331034764778E-6</v>
      </c>
      <c r="O27" s="12">
        <f t="shared" si="3"/>
        <v>6.2622802028030841E-4</v>
      </c>
      <c r="P27" s="12"/>
      <c r="Q27" s="12"/>
      <c r="R27" s="12"/>
      <c r="S27" s="12"/>
      <c r="T27" s="12"/>
      <c r="U27" s="12"/>
    </row>
    <row r="28" spans="1:21" x14ac:dyDescent="0.2">
      <c r="A28" s="12">
        <v>0.18</v>
      </c>
      <c r="B28" s="12">
        <f t="shared" ca="1" si="4"/>
        <v>95.751100643282243</v>
      </c>
      <c r="C28" s="13">
        <f t="shared" ca="1" si="5"/>
        <v>0.53076877186208926</v>
      </c>
      <c r="D28" s="14">
        <f t="shared" ca="1" si="6"/>
        <v>6.5437472947940556E-2</v>
      </c>
      <c r="E28" s="14">
        <f t="shared" ca="1" si="7"/>
        <v>6.2657100580803151</v>
      </c>
      <c r="F28" s="14">
        <f t="shared" ca="1" si="8"/>
        <v>54.876941057948159</v>
      </c>
      <c r="G28" s="14">
        <f t="shared" ca="1" si="9"/>
        <v>2.7445331290014089E-2</v>
      </c>
      <c r="H28" s="12"/>
      <c r="I28" s="12"/>
      <c r="J28" s="12"/>
      <c r="K28" s="12">
        <v>19</v>
      </c>
      <c r="L28" s="12">
        <f t="shared" si="0"/>
        <v>3.5993589022620398E-6</v>
      </c>
      <c r="M28" s="12">
        <f t="shared" si="1"/>
        <v>1.8152445257301197E-3</v>
      </c>
      <c r="N28" s="12">
        <f t="shared" si="2"/>
        <v>4.4409015785126232E-6</v>
      </c>
      <c r="O28" s="12">
        <f t="shared" si="3"/>
        <v>1.0185036734732841E-3</v>
      </c>
      <c r="P28" s="12"/>
      <c r="Q28" s="12"/>
      <c r="R28" s="12"/>
      <c r="S28" s="12"/>
      <c r="T28" s="12"/>
      <c r="U28" s="12"/>
    </row>
    <row r="29" spans="1:21" x14ac:dyDescent="0.2">
      <c r="A29" s="12">
        <v>0.19</v>
      </c>
      <c r="B29" s="12">
        <f t="shared" ca="1" si="4"/>
        <v>95.759943181389161</v>
      </c>
      <c r="C29" s="13">
        <f t="shared" ca="1" si="5"/>
        <v>0.52961485043636547</v>
      </c>
      <c r="D29" s="14">
        <f t="shared" ca="1" si="6"/>
        <v>-1.1539214257237917E-3</v>
      </c>
      <c r="E29" s="14">
        <f t="shared" ca="1" si="7"/>
        <v>-0.11049945016309787</v>
      </c>
      <c r="F29" s="14">
        <f t="shared" ca="1" si="8"/>
        <v>54.793886939075072</v>
      </c>
      <c r="G29" s="14">
        <f t="shared" ca="1" si="9"/>
        <v>2.7403793847082185E-2</v>
      </c>
      <c r="H29" s="12"/>
      <c r="I29" s="12"/>
      <c r="J29" s="12"/>
      <c r="K29" s="12">
        <v>20</v>
      </c>
      <c r="L29" s="12">
        <f t="shared" si="0"/>
        <v>1.1616875018050088E-5</v>
      </c>
      <c r="M29" s="12">
        <f t="shared" si="1"/>
        <v>3.0941824762170667E-3</v>
      </c>
      <c r="N29" s="12">
        <f t="shared" si="2"/>
        <v>1.2905810501999296E-5</v>
      </c>
      <c r="O29" s="12">
        <f t="shared" si="3"/>
        <v>1.5678926749849488E-3</v>
      </c>
      <c r="P29" s="12"/>
      <c r="Q29" s="12"/>
      <c r="R29" s="12"/>
      <c r="S29" s="12"/>
      <c r="T29" s="12"/>
      <c r="U29" s="12"/>
    </row>
    <row r="30" spans="1:21" x14ac:dyDescent="0.2">
      <c r="A30" s="12">
        <v>0.2</v>
      </c>
      <c r="B30" s="12">
        <f t="shared" ca="1" si="4"/>
        <v>98.574073029167394</v>
      </c>
      <c r="C30" s="13">
        <f t="shared" ca="1" si="5"/>
        <v>0.59202761888303934</v>
      </c>
      <c r="D30" s="14">
        <f t="shared" ca="1" si="6"/>
        <v>6.2412768446673872E-2</v>
      </c>
      <c r="E30" s="14">
        <f t="shared" ca="1" si="7"/>
        <v>6.1522807948149447</v>
      </c>
      <c r="F30" s="14">
        <f t="shared" ca="1" si="8"/>
        <v>60.9735715277371</v>
      </c>
      <c r="G30" s="14">
        <f t="shared" ca="1" si="9"/>
        <v>3.0494408730745767E-2</v>
      </c>
      <c r="H30" s="12"/>
      <c r="I30" s="12"/>
      <c r="J30" s="12"/>
      <c r="K30" s="12">
        <v>21</v>
      </c>
      <c r="L30" s="12">
        <f t="shared" si="0"/>
        <v>3.3401498726104428E-5</v>
      </c>
      <c r="M30" s="12">
        <f t="shared" si="1"/>
        <v>5.0120062102496643E-3</v>
      </c>
      <c r="N30" s="12">
        <f t="shared" si="2"/>
        <v>3.3495063319750875E-5</v>
      </c>
      <c r="O30" s="12">
        <f t="shared" si="3"/>
        <v>2.3000934397965568E-3</v>
      </c>
      <c r="P30" s="12"/>
      <c r="Q30" s="12"/>
      <c r="R30" s="12"/>
      <c r="S30" s="12"/>
      <c r="T30" s="12"/>
      <c r="U30" s="12"/>
    </row>
    <row r="31" spans="1:21" x14ac:dyDescent="0.2">
      <c r="A31" s="12">
        <v>0.21</v>
      </c>
      <c r="B31" s="12">
        <f t="shared" ca="1" si="4"/>
        <v>101.77159746657604</v>
      </c>
      <c r="C31" s="13">
        <f t="shared" ca="1" si="5"/>
        <v>0.65905093235642687</v>
      </c>
      <c r="D31" s="14">
        <f t="shared" ca="1" si="6"/>
        <v>6.7023313473387525E-2</v>
      </c>
      <c r="E31" s="14">
        <f t="shared" ca="1" si="7"/>
        <v>6.8210696796897379</v>
      </c>
      <c r="F31" s="14">
        <f t="shared" ca="1" si="8"/>
        <v>67.825135616157581</v>
      </c>
      <c r="G31" s="14">
        <f t="shared" ca="1" si="9"/>
        <v>3.392104736322523E-2</v>
      </c>
      <c r="K31" s="12">
        <v>22</v>
      </c>
      <c r="L31" s="12">
        <f t="shared" si="0"/>
        <v>8.6731405659179472E-5</v>
      </c>
      <c r="M31" s="12">
        <f t="shared" si="1"/>
        <v>7.7616345091032768E-3</v>
      </c>
      <c r="N31" s="12">
        <f t="shared" si="2"/>
        <v>7.8674581416689126E-5</v>
      </c>
      <c r="O31" s="12">
        <f t="shared" si="3"/>
        <v>3.233948974311905E-3</v>
      </c>
    </row>
    <row r="32" spans="1:21" x14ac:dyDescent="0.2">
      <c r="A32" s="12">
        <v>0.22</v>
      </c>
      <c r="B32" s="12">
        <f t="shared" ca="1" si="4"/>
        <v>103.98751544008914</v>
      </c>
      <c r="C32" s="13">
        <f t="shared" ca="1" si="5"/>
        <v>0.70210888781590086</v>
      </c>
      <c r="D32" s="14">
        <f t="shared" ca="1" si="6"/>
        <v>4.3057955459473995E-2</v>
      </c>
      <c r="E32" s="14">
        <f t="shared" ca="1" si="7"/>
        <v>4.4774898081607226</v>
      </c>
      <c r="F32" s="14">
        <f t="shared" ca="1" si="8"/>
        <v>72.33654647168153</v>
      </c>
      <c r="G32" s="14">
        <f t="shared" ca="1" si="9"/>
        <v>3.617731681134323E-2</v>
      </c>
      <c r="K32" s="12">
        <v>23</v>
      </c>
      <c r="L32" s="12">
        <f t="shared" si="0"/>
        <v>2.0575501124930895E-4</v>
      </c>
      <c r="M32" s="12">
        <f t="shared" si="1"/>
        <v>1.1550390728023219E-2</v>
      </c>
      <c r="N32" s="12">
        <f t="shared" si="2"/>
        <v>1.6914039334450795E-4</v>
      </c>
      <c r="O32" s="12">
        <f t="shared" si="3"/>
        <v>4.3790973356245466E-3</v>
      </c>
    </row>
    <row r="33" spans="1:15" x14ac:dyDescent="0.2">
      <c r="A33" s="12">
        <v>0.23</v>
      </c>
      <c r="B33" s="12">
        <f t="shared" ca="1" si="4"/>
        <v>104.94934729767778</v>
      </c>
      <c r="C33" s="13">
        <f t="shared" ca="1" si="5"/>
        <v>0.71984537104771484</v>
      </c>
      <c r="D33" s="14">
        <f t="shared" ca="1" si="6"/>
        <v>1.7736483231813982E-2</v>
      </c>
      <c r="E33" s="14">
        <f t="shared" ca="1" si="7"/>
        <v>1.8614323385350839</v>
      </c>
      <c r="F33" s="14">
        <f t="shared" ca="1" si="8"/>
        <v>74.234156127027958</v>
      </c>
      <c r="G33" s="14">
        <f t="shared" ca="1" si="9"/>
        <v>3.7126358879761671E-2</v>
      </c>
      <c r="K33" s="12">
        <v>24</v>
      </c>
      <c r="L33" s="12">
        <f t="shared" si="0"/>
        <v>4.5039289258463899E-4</v>
      </c>
      <c r="M33" s="12">
        <f t="shared" si="1"/>
        <v>1.6589989234640945E-2</v>
      </c>
      <c r="N33" s="12">
        <f t="shared" si="2"/>
        <v>3.3605263422237626E-4</v>
      </c>
      <c r="O33" s="12">
        <f t="shared" si="3"/>
        <v>5.7345230361860308E-3</v>
      </c>
    </row>
    <row r="34" spans="1:15" x14ac:dyDescent="0.2">
      <c r="A34" s="12">
        <v>0.24</v>
      </c>
      <c r="B34" s="12">
        <f t="shared" ca="1" si="4"/>
        <v>103.17053524438116</v>
      </c>
      <c r="C34" s="13">
        <f t="shared" ca="1" si="5"/>
        <v>0.68585759587974038</v>
      </c>
      <c r="D34" s="14">
        <f t="shared" ca="1" si="6"/>
        <v>-3.3987775167974466E-2</v>
      </c>
      <c r="E34" s="14">
        <f t="shared" ca="1" si="7"/>
        <v>-3.5065369558456121</v>
      </c>
      <c r="F34" s="14">
        <f t="shared" ca="1" si="8"/>
        <v>70.7647455300621</v>
      </c>
      <c r="G34" s="14">
        <f t="shared" ca="1" si="9"/>
        <v>3.5391219832666E-2</v>
      </c>
      <c r="K34" s="12">
        <v>25</v>
      </c>
      <c r="L34" s="12">
        <f t="shared" si="0"/>
        <v>9.1750018100344999E-4</v>
      </c>
      <c r="M34" s="12">
        <f t="shared" si="1"/>
        <v>2.3085579590655603E-2</v>
      </c>
      <c r="N34" s="12">
        <f t="shared" si="2"/>
        <v>6.2217973427643831E-4</v>
      </c>
      <c r="O34" s="12">
        <f t="shared" si="3"/>
        <v>7.2881284996416827E-3</v>
      </c>
    </row>
    <row r="35" spans="1:15" x14ac:dyDescent="0.2">
      <c r="A35" s="12">
        <v>0.25</v>
      </c>
      <c r="B35" s="12">
        <f t="shared" ca="1" si="4"/>
        <v>100.75677219637133</v>
      </c>
      <c r="C35" s="13">
        <f t="shared" ca="1" si="5"/>
        <v>0.63556778445250417</v>
      </c>
      <c r="D35" s="14">
        <f t="shared" ca="1" si="6"/>
        <v>-5.0289811427236208E-2</v>
      </c>
      <c r="E35" s="14">
        <f t="shared" ca="1" si="7"/>
        <v>-5.0670390737725102</v>
      </c>
      <c r="F35" s="14">
        <f t="shared" ca="1" si="8"/>
        <v>65.733097676122256</v>
      </c>
      <c r="G35" s="14">
        <f t="shared" ca="1" si="9"/>
        <v>3.2874766844875669E-2</v>
      </c>
      <c r="K35" s="12">
        <v>26</v>
      </c>
      <c r="L35" s="12">
        <f t="shared" si="0"/>
        <v>1.7522904540790973E-3</v>
      </c>
      <c r="M35" s="12">
        <f t="shared" si="1"/>
        <v>3.1224864350681503E-2</v>
      </c>
      <c r="N35" s="12">
        <f t="shared" si="2"/>
        <v>1.0811568626820291E-3</v>
      </c>
      <c r="O35" s="12">
        <f t="shared" si="3"/>
        <v>9.017292783190984E-3</v>
      </c>
    </row>
    <row r="36" spans="1:15" x14ac:dyDescent="0.2">
      <c r="A36" s="12">
        <v>0.26</v>
      </c>
      <c r="B36" s="12">
        <f t="shared" ca="1" si="4"/>
        <v>101.78048631863409</v>
      </c>
      <c r="C36" s="13">
        <f t="shared" ca="1" si="5"/>
        <v>0.65676840628654043</v>
      </c>
      <c r="D36" s="14">
        <f t="shared" ca="1" si="6"/>
        <v>2.120062183403626E-2</v>
      </c>
      <c r="E36" s="14">
        <f t="shared" ca="1" si="7"/>
        <v>2.1578096005256628</v>
      </c>
      <c r="F36" s="14">
        <f t="shared" ca="1" si="8"/>
        <v>67.923782043492793</v>
      </c>
      <c r="G36" s="14">
        <f t="shared" ca="1" si="9"/>
        <v>3.3970382909751635E-2</v>
      </c>
      <c r="K36" s="12">
        <v>27</v>
      </c>
      <c r="L36" s="12">
        <f t="shared" si="0"/>
        <v>3.1578407234673644E-3</v>
      </c>
      <c r="M36" s="12">
        <f t="shared" si="1"/>
        <v>4.1168210891527557E-2</v>
      </c>
      <c r="N36" s="12">
        <f t="shared" si="2"/>
        <v>1.7743365253266323E-3</v>
      </c>
      <c r="O36" s="12">
        <f t="shared" si="3"/>
        <v>1.089026645103669E-2</v>
      </c>
    </row>
    <row r="37" spans="1:15" x14ac:dyDescent="0.2">
      <c r="A37" s="12">
        <v>0.27</v>
      </c>
      <c r="B37" s="12">
        <f t="shared" ca="1" si="4"/>
        <v>103.63757926204487</v>
      </c>
      <c r="C37" s="13">
        <f t="shared" ca="1" si="5"/>
        <v>0.69431998603492462</v>
      </c>
      <c r="D37" s="14">
        <f t="shared" ca="1" si="6"/>
        <v>3.755157974838419E-2</v>
      </c>
      <c r="E37" s="14">
        <f t="shared" ca="1" si="7"/>
        <v>3.8917548225881653</v>
      </c>
      <c r="F37" s="14">
        <f t="shared" ca="1" si="8"/>
        <v>71.849507248990719</v>
      </c>
      <c r="G37" s="14">
        <f t="shared" ca="1" si="9"/>
        <v>3.593373630994711E-2</v>
      </c>
      <c r="K37" s="12">
        <v>28</v>
      </c>
      <c r="L37" s="12">
        <f t="shared" si="0"/>
        <v>5.4002072468367635E-3</v>
      </c>
      <c r="M37" s="12">
        <f t="shared" si="1"/>
        <v>5.3040485573899065E-2</v>
      </c>
      <c r="N37" s="12">
        <f t="shared" si="2"/>
        <v>2.7652026689772833E-3</v>
      </c>
      <c r="O37" s="12">
        <f t="shared" si="3"/>
        <v>1.286817770081225E-2</v>
      </c>
    </row>
    <row r="38" spans="1:15" x14ac:dyDescent="0.2">
      <c r="A38" s="12">
        <v>0.28000000000000003</v>
      </c>
      <c r="B38" s="12">
        <f t="shared" ca="1" si="4"/>
        <v>103.88256641321115</v>
      </c>
      <c r="C38" s="13">
        <f t="shared" ca="1" si="5"/>
        <v>0.69896905570891743</v>
      </c>
      <c r="D38" s="14">
        <f t="shared" ca="1" si="6"/>
        <v>4.6490696739928117E-3</v>
      </c>
      <c r="E38" s="14">
        <f t="shared" ca="1" si="7"/>
        <v>0.48295728916820418</v>
      </c>
      <c r="F38" s="14">
        <f t="shared" ca="1" si="8"/>
        <v>72.368398274468859</v>
      </c>
      <c r="G38" s="14">
        <f t="shared" ca="1" si="9"/>
        <v>3.6193246694875898E-2</v>
      </c>
      <c r="K38" s="12">
        <v>29</v>
      </c>
      <c r="L38" s="12">
        <f t="shared" si="0"/>
        <v>8.8069426337410439E-3</v>
      </c>
      <c r="M38" s="12">
        <f t="shared" si="1"/>
        <v>6.692509517403511E-2</v>
      </c>
      <c r="N38" s="12">
        <f t="shared" si="2"/>
        <v>4.1118999555002618E-3</v>
      </c>
      <c r="O38" s="12">
        <f t="shared" si="3"/>
        <v>1.4907395586812353E-2</v>
      </c>
    </row>
    <row r="39" spans="1:15" x14ac:dyDescent="0.2">
      <c r="A39" s="12">
        <v>0.28999999999999998</v>
      </c>
      <c r="B39" s="12">
        <f t="shared" ca="1" si="4"/>
        <v>103.00912142120211</v>
      </c>
      <c r="C39" s="13">
        <f t="shared" ca="1" si="5"/>
        <v>0.68112246508159269</v>
      </c>
      <c r="D39" s="14">
        <f t="shared" ca="1" si="6"/>
        <v>-1.7846590627324743E-2</v>
      </c>
      <c r="E39" s="14">
        <f t="shared" ca="1" si="7"/>
        <v>-1.8383616208845821</v>
      </c>
      <c r="F39" s="14">
        <f t="shared" ca="1" si="8"/>
        <v>70.566229900279154</v>
      </c>
      <c r="G39" s="14">
        <f t="shared" ca="1" si="9"/>
        <v>3.529193719918456E-2</v>
      </c>
      <c r="K39" s="12">
        <v>30</v>
      </c>
      <c r="L39" s="12">
        <f t="shared" si="0"/>
        <v>1.3757619801480159E-2</v>
      </c>
      <c r="M39" s="12">
        <f t="shared" si="1"/>
        <v>8.2860467317540709E-2</v>
      </c>
      <c r="N39" s="12">
        <f t="shared" si="2"/>
        <v>5.8589294721694734E-3</v>
      </c>
      <c r="O39" s="12">
        <f t="shared" si="3"/>
        <v>1.6962004131677189E-2</v>
      </c>
    </row>
    <row r="40" spans="1:15" x14ac:dyDescent="0.2">
      <c r="A40" s="12">
        <v>0.3</v>
      </c>
      <c r="B40" s="12">
        <f t="shared" ca="1" si="4"/>
        <v>103.72769357185823</v>
      </c>
      <c r="C40" s="13">
        <f t="shared" ca="1" si="5"/>
        <v>0.69551756274106769</v>
      </c>
      <c r="D40" s="14">
        <f t="shared" ca="1" si="6"/>
        <v>1.4395097659474998E-2</v>
      </c>
      <c r="E40" s="14">
        <f t="shared" ca="1" si="7"/>
        <v>1.4931702789589962</v>
      </c>
      <c r="F40" s="14">
        <f t="shared" ca="1" si="8"/>
        <v>72.094692116437344</v>
      </c>
      <c r="G40" s="14">
        <f t="shared" ca="1" si="9"/>
        <v>3.6056359396887484E-2</v>
      </c>
      <c r="K40" s="12">
        <v>31</v>
      </c>
      <c r="L40" s="12">
        <f t="shared" si="0"/>
        <v>2.0666181924518967E-2</v>
      </c>
      <c r="M40" s="12">
        <f t="shared" si="1"/>
        <v>0.10083897062719083</v>
      </c>
      <c r="N40" s="12">
        <f t="shared" si="2"/>
        <v>8.0293395488766715E-3</v>
      </c>
      <c r="O40" s="12">
        <f t="shared" si="3"/>
        <v>1.8986175427204509E-2</v>
      </c>
    </row>
    <row r="41" spans="1:15" x14ac:dyDescent="0.2">
      <c r="A41" s="12">
        <v>0.31</v>
      </c>
      <c r="B41" s="12">
        <f t="shared" ca="1" si="4"/>
        <v>102.81938045961222</v>
      </c>
      <c r="C41" s="13">
        <f t="shared" ca="1" si="5"/>
        <v>0.67655619468208872</v>
      </c>
      <c r="D41" s="14">
        <f t="shared" ca="1" si="6"/>
        <v>-1.8961368058978967E-2</v>
      </c>
      <c r="E41" s="14">
        <f t="shared" ca="1" si="7"/>
        <v>-1.9495961164908973</v>
      </c>
      <c r="F41" s="14">
        <f t="shared" ca="1" si="8"/>
        <v>70.181152359343329</v>
      </c>
      <c r="G41" s="14">
        <f t="shared" ca="1" si="9"/>
        <v>3.5099350286000613E-2</v>
      </c>
      <c r="K41" s="12">
        <v>32</v>
      </c>
      <c r="L41" s="12">
        <f t="shared" si="0"/>
        <v>2.9956284863762228E-2</v>
      </c>
      <c r="M41" s="12">
        <f t="shared" si="1"/>
        <v>0.12080808713942337</v>
      </c>
      <c r="N41" s="12">
        <f t="shared" si="2"/>
        <v>1.0618725178134697E-2</v>
      </c>
      <c r="O41" s="12">
        <f t="shared" si="3"/>
        <v>2.0936279129430739E-2</v>
      </c>
    </row>
    <row r="42" spans="1:15" x14ac:dyDescent="0.2">
      <c r="A42" s="12">
        <v>0.32</v>
      </c>
      <c r="B42" s="12">
        <f t="shared" ca="1" si="4"/>
        <v>101.57715483813698</v>
      </c>
      <c r="C42" s="13">
        <f t="shared" ca="1" si="5"/>
        <v>0.6493254774537438</v>
      </c>
      <c r="D42" s="14">
        <f t="shared" ca="1" si="6"/>
        <v>-2.7230717228344914E-2</v>
      </c>
      <c r="E42" s="14">
        <f t="shared" ca="1" si="7"/>
        <v>-2.7660187802571157</v>
      </c>
      <c r="F42" s="14">
        <f t="shared" ca="1" si="8"/>
        <v>67.45023292937222</v>
      </c>
      <c r="G42" s="14">
        <f t="shared" ca="1" si="9"/>
        <v>3.3733549149185284E-2</v>
      </c>
      <c r="K42" s="12">
        <v>33</v>
      </c>
      <c r="L42" s="12">
        <f t="shared" si="0"/>
        <v>4.2031987244690372E-2</v>
      </c>
      <c r="M42" s="12">
        <f t="shared" si="1"/>
        <v>0.14267351412311546</v>
      </c>
      <c r="N42" s="12">
        <f t="shared" si="2"/>
        <v>1.3592057028131078E-2</v>
      </c>
      <c r="O42" s="12">
        <f t="shared" si="3"/>
        <v>2.277262012491367E-2</v>
      </c>
    </row>
    <row r="43" spans="1:15" x14ac:dyDescent="0.2">
      <c r="A43" s="12">
        <v>0.33</v>
      </c>
      <c r="B43" s="12">
        <f t="shared" ca="1" si="4"/>
        <v>103.72902409126617</v>
      </c>
      <c r="C43" s="13">
        <f t="shared" ca="1" si="5"/>
        <v>0.69501959034202354</v>
      </c>
      <c r="D43" s="14">
        <f t="shared" ca="1" si="6"/>
        <v>4.5694112888279736E-2</v>
      </c>
      <c r="E43" s="14">
        <f t="shared" ca="1" si="7"/>
        <v>4.7398057366174049</v>
      </c>
      <c r="F43" s="14">
        <f t="shared" ca="1" si="8"/>
        <v>72.223772215138808</v>
      </c>
      <c r="G43" s="14">
        <f t="shared" ca="1" si="9"/>
        <v>3.6120915583940053E-2</v>
      </c>
      <c r="K43" s="12">
        <v>34</v>
      </c>
      <c r="L43" s="12">
        <f t="shared" si="0"/>
        <v>5.7246933589974125E-2</v>
      </c>
      <c r="M43" s="12">
        <f t="shared" si="1"/>
        <v>0.16630379081927071</v>
      </c>
      <c r="N43" s="12">
        <f t="shared" si="2"/>
        <v>1.6883876608794059E-2</v>
      </c>
      <c r="O43" s="12">
        <f t="shared" si="3"/>
        <v>2.4460748069517549E-2</v>
      </c>
    </row>
    <row r="44" spans="1:15" x14ac:dyDescent="0.2">
      <c r="A44" s="12">
        <v>0.34</v>
      </c>
      <c r="B44" s="12">
        <f t="shared" ca="1" si="4"/>
        <v>100.91759307352211</v>
      </c>
      <c r="C44" s="13">
        <f t="shared" ca="1" si="5"/>
        <v>0.63328167071892771</v>
      </c>
      <c r="D44" s="14">
        <f t="shared" ca="1" si="6"/>
        <v>-6.1737919623095827E-2</v>
      </c>
      <c r="E44" s="14">
        <f t="shared" ca="1" si="7"/>
        <v>-6.2304422497294007</v>
      </c>
      <c r="F44" s="14">
        <f t="shared" ca="1" si="8"/>
        <v>66.029450880993338</v>
      </c>
      <c r="G44" s="14">
        <f t="shared" ca="1" si="9"/>
        <v>3.3022980497636592E-2</v>
      </c>
      <c r="K44" s="12">
        <v>35</v>
      </c>
      <c r="L44" s="12">
        <f t="shared" si="0"/>
        <v>7.5875434894856153E-2</v>
      </c>
      <c r="M44" s="12">
        <f t="shared" si="1"/>
        <v>0.1915360126665131</v>
      </c>
      <c r="N44" s="12">
        <f t="shared" si="2"/>
        <v>2.040183936471953E-2</v>
      </c>
      <c r="O44" s="12">
        <f t="shared" si="3"/>
        <v>2.5972327099789489E-2</v>
      </c>
    </row>
    <row r="45" spans="1:15" x14ac:dyDescent="0.2">
      <c r="A45" s="12">
        <v>0.35</v>
      </c>
      <c r="B45" s="12">
        <f t="shared" ca="1" si="4"/>
        <v>100.26295479343327</v>
      </c>
      <c r="C45" s="13">
        <f t="shared" ca="1" si="5"/>
        <v>0.61732593564551663</v>
      </c>
      <c r="D45" s="14">
        <f t="shared" ca="1" si="6"/>
        <v>-1.5955735073411081E-2</v>
      </c>
      <c r="E45" s="14">
        <f t="shared" ca="1" si="7"/>
        <v>-1.5997691443614128</v>
      </c>
      <c r="F45" s="14">
        <f t="shared" ca="1" si="8"/>
        <v>64.462704717129554</v>
      </c>
      <c r="G45" s="14">
        <f t="shared" ca="1" si="9"/>
        <v>3.2239411539789729E-2</v>
      </c>
      <c r="K45" s="12">
        <v>36</v>
      </c>
      <c r="L45" s="12">
        <f t="shared" si="0"/>
        <v>9.8088570194439617E-2</v>
      </c>
      <c r="M45" s="12">
        <f t="shared" si="1"/>
        <v>0.21818220247425313</v>
      </c>
      <c r="N45" s="12">
        <f t="shared" si="2"/>
        <v>2.4033082538353765E-2</v>
      </c>
      <c r="O45" s="12">
        <f t="shared" si="3"/>
        <v>2.7285588790033257E-2</v>
      </c>
    </row>
    <row r="46" spans="1:15" x14ac:dyDescent="0.2">
      <c r="A46" s="12">
        <v>0.36</v>
      </c>
      <c r="B46" s="12">
        <f t="shared" ca="1" si="4"/>
        <v>100.13988684420788</v>
      </c>
      <c r="C46" s="13">
        <f t="shared" ca="1" si="5"/>
        <v>0.61360854135238196</v>
      </c>
      <c r="D46" s="14">
        <f t="shared" ca="1" si="6"/>
        <v>-3.7173942931346682E-3</v>
      </c>
      <c r="E46" s="14">
        <f t="shared" ca="1" si="7"/>
        <v>-0.3722594438698098</v>
      </c>
      <c r="F46" s="14">
        <f t="shared" ca="1" si="8"/>
        <v>64.122684684799538</v>
      </c>
      <c r="G46" s="14">
        <f t="shared" ca="1" si="9"/>
        <v>3.206935901403607E-2</v>
      </c>
      <c r="K46" s="12">
        <v>37</v>
      </c>
      <c r="L46" s="12">
        <f t="shared" si="0"/>
        <v>0.12393771074329896</v>
      </c>
      <c r="M46" s="12">
        <f t="shared" si="1"/>
        <v>0.246035944427485</v>
      </c>
      <c r="N46" s="12">
        <f t="shared" si="2"/>
        <v>2.7652529461510051E-2</v>
      </c>
      <c r="O46" s="12">
        <f t="shared" si="3"/>
        <v>2.8385415750938274E-2</v>
      </c>
    </row>
    <row r="47" spans="1:15" x14ac:dyDescent="0.2">
      <c r="A47" s="12">
        <v>0.37</v>
      </c>
      <c r="B47" s="12">
        <f t="shared" ca="1" si="4"/>
        <v>99.12661758825152</v>
      </c>
      <c r="C47" s="13">
        <f t="shared" ca="1" si="5"/>
        <v>0.58805486408319152</v>
      </c>
      <c r="D47" s="14">
        <f t="shared" ca="1" si="6"/>
        <v>-2.5553677269190445E-2</v>
      </c>
      <c r="E47" s="14">
        <f t="shared" ca="1" si="7"/>
        <v>-2.5330495946366365</v>
      </c>
      <c r="F47" s="14">
        <f t="shared" ca="1" si="8"/>
        <v>61.621704449176931</v>
      </c>
      <c r="G47" s="14">
        <f t="shared" ca="1" si="9"/>
        <v>3.0818556221585264E-2</v>
      </c>
      <c r="K47" s="12">
        <v>38</v>
      </c>
      <c r="L47" s="12">
        <f t="shared" si="0"/>
        <v>0.15334687241750367</v>
      </c>
      <c r="M47" s="12">
        <f t="shared" si="1"/>
        <v>0.2748789425132786</v>
      </c>
      <c r="N47" s="12">
        <f t="shared" si="2"/>
        <v>3.1132061623085822E-2</v>
      </c>
      <c r="O47" s="12">
        <f t="shared" si="3"/>
        <v>2.9263117819284794E-2</v>
      </c>
    </row>
    <row r="48" spans="1:15" x14ac:dyDescent="0.2">
      <c r="A48" s="12">
        <v>0.38</v>
      </c>
      <c r="B48" s="12">
        <f t="shared" ca="1" si="4"/>
        <v>102.49155993974725</v>
      </c>
      <c r="C48" s="13">
        <f t="shared" ca="1" si="5"/>
        <v>0.66708042863950634</v>
      </c>
      <c r="D48" s="14">
        <f t="shared" ca="1" si="6"/>
        <v>7.902556455631482E-2</v>
      </c>
      <c r="E48" s="14">
        <f t="shared" ca="1" si="7"/>
        <v>8.099453386495906</v>
      </c>
      <c r="F48" s="14">
        <f t="shared" ca="1" si="8"/>
        <v>69.751976391894416</v>
      </c>
      <c r="G48" s="14">
        <f t="shared" ca="1" si="9"/>
        <v>3.4884708646337984E-2</v>
      </c>
      <c r="K48" s="12">
        <v>39</v>
      </c>
      <c r="L48" s="12">
        <f t="shared" si="0"/>
        <v>0.18611422104081587</v>
      </c>
      <c r="M48" s="12">
        <f t="shared" si="1"/>
        <v>0.30448723083305262</v>
      </c>
      <c r="N48" s="12">
        <f t="shared" si="2"/>
        <v>3.4349494797974216E-2</v>
      </c>
      <c r="O48" s="12">
        <f t="shared" si="3"/>
        <v>2.9915969032546945E-2</v>
      </c>
    </row>
    <row r="49" spans="1:15" x14ac:dyDescent="0.2">
      <c r="A49" s="12">
        <v>0.39</v>
      </c>
      <c r="B49" s="12">
        <f t="shared" ca="1" si="4"/>
        <v>104.06602256131144</v>
      </c>
      <c r="C49" s="13">
        <f t="shared" ca="1" si="5"/>
        <v>0.70142607758128561</v>
      </c>
      <c r="D49" s="14">
        <f t="shared" ca="1" si="6"/>
        <v>3.4345648941779272E-2</v>
      </c>
      <c r="E49" s="14">
        <f t="shared" ca="1" si="7"/>
        <v>3.5742150776580841</v>
      </c>
      <c r="F49" s="14">
        <f t="shared" ca="1" si="8"/>
        <v>73.361076178198843</v>
      </c>
      <c r="G49" s="14">
        <f t="shared" ca="1" si="9"/>
        <v>3.6689709752162146E-2</v>
      </c>
      <c r="K49" s="12">
        <v>40</v>
      </c>
      <c r="L49" s="12">
        <f t="shared" si="0"/>
        <v>0.22192206043069429</v>
      </c>
      <c r="M49" s="12">
        <f t="shared" si="1"/>
        <v>0.3346368318723546</v>
      </c>
      <c r="N49" s="12">
        <f t="shared" si="2"/>
        <v>3.7196451660627274E-2</v>
      </c>
      <c r="O49" s="12">
        <f t="shared" si="3"/>
        <v>3.0346573327567451E-2</v>
      </c>
    </row>
    <row r="50" spans="1:15" x14ac:dyDescent="0.2">
      <c r="A50" s="12">
        <v>0.4</v>
      </c>
      <c r="B50" s="12">
        <f t="shared" ca="1" si="4"/>
        <v>103.9969306921695</v>
      </c>
      <c r="C50" s="13">
        <f t="shared" ca="1" si="5"/>
        <v>0.69989098199297783</v>
      </c>
      <c r="D50" s="14">
        <f t="shared" ca="1" si="6"/>
        <v>-1.5350955883077777E-3</v>
      </c>
      <c r="E50" s="14">
        <f t="shared" ca="1" si="7"/>
        <v>-0.15964522950309912</v>
      </c>
      <c r="F50" s="14">
        <f t="shared" ca="1" si="8"/>
        <v>73.238120658447912</v>
      </c>
      <c r="G50" s="14">
        <f t="shared" ca="1" si="9"/>
        <v>3.6628216620284829E-2</v>
      </c>
      <c r="K50" s="12">
        <v>41</v>
      </c>
      <c r="L50" s="12">
        <f t="shared" si="0"/>
        <v>0.26035384951634732</v>
      </c>
      <c r="M50" s="12">
        <f t="shared" si="1"/>
        <v>0.36510872457301624</v>
      </c>
      <c r="N50" s="12">
        <f t="shared" si="2"/>
        <v>3.9584477310245746E-2</v>
      </c>
      <c r="O50" s="12">
        <f t="shared" si="3"/>
        <v>3.0562121998870484E-2</v>
      </c>
    </row>
    <row r="51" spans="1:15" x14ac:dyDescent="0.2">
      <c r="A51" s="12">
        <v>0.41</v>
      </c>
      <c r="B51" s="12">
        <f t="shared" ca="1" si="4"/>
        <v>101.6185112695901</v>
      </c>
      <c r="C51" s="13">
        <f t="shared" ca="1" si="5"/>
        <v>0.64555696336037982</v>
      </c>
      <c r="D51" s="14">
        <f t="shared" ca="1" si="6"/>
        <v>-5.4334018632598013E-2</v>
      </c>
      <c r="E51" s="14">
        <f t="shared" ca="1" si="7"/>
        <v>-5.5213420847387802</v>
      </c>
      <c r="F51" s="14">
        <f t="shared" ca="1" si="8"/>
        <v>67.753406790329421</v>
      </c>
      <c r="G51" s="14">
        <f t="shared" ca="1" si="9"/>
        <v>3.3885173982713387E-2</v>
      </c>
      <c r="K51" s="12">
        <v>42</v>
      </c>
      <c r="L51" s="12">
        <f t="shared" si="0"/>
        <v>0.30091629129827779</v>
      </c>
      <c r="M51" s="12">
        <f t="shared" si="1"/>
        <v>0.39569304321694776</v>
      </c>
      <c r="N51" s="12">
        <f t="shared" si="2"/>
        <v>4.1449038340840128E-2</v>
      </c>
      <c r="O51" s="12">
        <f t="shared" si="3"/>
        <v>3.0573598088268913E-2</v>
      </c>
    </row>
    <row r="52" spans="1:15" x14ac:dyDescent="0.2">
      <c r="A52" s="12">
        <v>0.42</v>
      </c>
      <c r="B52" s="12">
        <f t="shared" ca="1" si="4"/>
        <v>103.07412531976489</v>
      </c>
      <c r="C52" s="13">
        <f t="shared" ca="1" si="5"/>
        <v>0.67915535225378421</v>
      </c>
      <c r="D52" s="14">
        <f t="shared" ca="1" si="6"/>
        <v>3.3598388893404385E-2</v>
      </c>
      <c r="E52" s="14">
        <f t="shared" ca="1" si="7"/>
        <v>3.4631245473409602</v>
      </c>
      <c r="F52" s="14">
        <f t="shared" ca="1" si="8"/>
        <v>71.250416511653086</v>
      </c>
      <c r="G52" s="14">
        <f t="shared" ca="1" si="9"/>
        <v>3.5634116042453562E-2</v>
      </c>
      <c r="K52" s="12">
        <v>43</v>
      </c>
      <c r="L52" s="12">
        <f t="shared" si="0"/>
        <v>0.34306432596873238</v>
      </c>
      <c r="M52" s="12">
        <f t="shared" si="1"/>
        <v>0.42619247847980102</v>
      </c>
      <c r="N52" s="12">
        <f t="shared" si="2"/>
        <v>4.275133005232911E-2</v>
      </c>
      <c r="O52" s="12">
        <f t="shared" si="3"/>
        <v>3.0394973471012818E-2</v>
      </c>
    </row>
    <row r="53" spans="1:15" x14ac:dyDescent="0.2">
      <c r="A53" s="12">
        <v>0.43</v>
      </c>
      <c r="B53" s="12">
        <f t="shared" ca="1" si="4"/>
        <v>99.744726807865746</v>
      </c>
      <c r="C53" s="13">
        <f t="shared" ca="1" si="5"/>
        <v>0.59766838265697131</v>
      </c>
      <c r="D53" s="14">
        <f t="shared" ca="1" si="6"/>
        <v>-8.1486969596812897E-2</v>
      </c>
      <c r="E53" s="14">
        <f t="shared" ca="1" si="7"/>
        <v>-8.127895520834965</v>
      </c>
      <c r="F53" s="14">
        <f t="shared" ca="1" si="8"/>
        <v>63.158155106860576</v>
      </c>
      <c r="G53" s="14">
        <f t="shared" ca="1" si="9"/>
        <v>3.1586973638772553E-2</v>
      </c>
      <c r="K53" s="12">
        <v>44</v>
      </c>
      <c r="L53" s="12">
        <f t="shared" si="0"/>
        <v>0.38622691254044184</v>
      </c>
      <c r="M53" s="12">
        <f t="shared" si="1"/>
        <v>0.45642489260709718</v>
      </c>
      <c r="N53" s="12">
        <f t="shared" si="2"/>
        <v>4.3478053653402141E-2</v>
      </c>
      <c r="O53" s="12">
        <f t="shared" si="3"/>
        <v>3.0042434560706023E-2</v>
      </c>
    </row>
    <row r="54" spans="1:15" x14ac:dyDescent="0.2">
      <c r="A54" s="12">
        <v>0.44</v>
      </c>
      <c r="B54" s="12">
        <f t="shared" ca="1" si="4"/>
        <v>97.512379837251345</v>
      </c>
      <c r="C54" s="13">
        <f t="shared" ca="1" si="5"/>
        <v>0.53728764250398209</v>
      </c>
      <c r="D54" s="14">
        <f t="shared" ca="1" si="6"/>
        <v>-6.0380740152989221E-2</v>
      </c>
      <c r="E54" s="14">
        <f t="shared" ca="1" si="7"/>
        <v>-5.8878696686526588</v>
      </c>
      <c r="F54" s="14">
        <f t="shared" ca="1" si="8"/>
        <v>57.301872411846688</v>
      </c>
      <c r="G54" s="14">
        <f t="shared" ca="1" si="9"/>
        <v>2.8658100133908099E-2</v>
      </c>
      <c r="K54" s="12">
        <v>45</v>
      </c>
      <c r="L54" s="12">
        <f t="shared" si="0"/>
        <v>0.42983173886313519</v>
      </c>
      <c r="M54" s="12">
        <f t="shared" si="1"/>
        <v>0.4862251915179322</v>
      </c>
      <c r="N54" s="12">
        <f t="shared" si="2"/>
        <v>4.3639495531524949E-2</v>
      </c>
      <c r="O54" s="12">
        <f t="shared" si="3"/>
        <v>2.9533663074966517E-2</v>
      </c>
    </row>
    <row r="55" spans="1:15" x14ac:dyDescent="0.2">
      <c r="A55" s="12">
        <v>0.45</v>
      </c>
      <c r="B55" s="12">
        <f t="shared" ca="1" si="4"/>
        <v>99.461437404995948</v>
      </c>
      <c r="C55" s="13">
        <f t="shared" ca="1" si="5"/>
        <v>0.58829405400229084</v>
      </c>
      <c r="D55" s="14">
        <f t="shared" ca="1" si="6"/>
        <v>5.1006411498308757E-2</v>
      </c>
      <c r="E55" s="14">
        <f t="shared" ca="1" si="7"/>
        <v>5.0731710044925018</v>
      </c>
      <c r="F55" s="14">
        <f t="shared" ca="1" si="8"/>
        <v>62.403701516473099</v>
      </c>
      <c r="G55" s="14">
        <f t="shared" ca="1" si="9"/>
        <v>3.1209652521160335E-2</v>
      </c>
      <c r="K55" s="12">
        <v>46</v>
      </c>
      <c r="L55" s="12">
        <f t="shared" si="0"/>
        <v>0.47332738751259085</v>
      </c>
      <c r="M55" s="12">
        <f t="shared" si="1"/>
        <v>0.51544642111570527</v>
      </c>
      <c r="N55" s="12">
        <f t="shared" si="2"/>
        <v>4.3266338335662603E-2</v>
      </c>
      <c r="O55" s="12">
        <f t="shared" si="3"/>
        <v>2.8887189712503036E-2</v>
      </c>
    </row>
    <row r="56" spans="1:15" x14ac:dyDescent="0.2">
      <c r="A56" s="12">
        <v>0.46</v>
      </c>
      <c r="B56" s="12">
        <f t="shared" ca="1" si="4"/>
        <v>102.02928811818917</v>
      </c>
      <c r="C56" s="13">
        <f t="shared" ca="1" si="5"/>
        <v>0.65316870664254156</v>
      </c>
      <c r="D56" s="14">
        <f t="shared" ca="1" si="6"/>
        <v>6.4874652640250718E-2</v>
      </c>
      <c r="E56" s="14">
        <f t="shared" ca="1" si="7"/>
        <v>6.6191146257995825</v>
      </c>
      <c r="F56" s="14">
        <f t="shared" ca="1" si="8"/>
        <v>69.054025794793844</v>
      </c>
      <c r="G56" s="14">
        <f t="shared" ca="1" si="9"/>
        <v>3.4535646089420662E-2</v>
      </c>
      <c r="K56" s="12">
        <v>47</v>
      </c>
      <c r="L56" s="12">
        <f t="shared" si="0"/>
        <v>0.51620182767791745</v>
      </c>
      <c r="M56" s="12">
        <f t="shared" si="1"/>
        <v>0.54396004665179987</v>
      </c>
      <c r="N56" s="12">
        <f t="shared" si="2"/>
        <v>4.240566457245027E-2</v>
      </c>
      <c r="O56" s="12">
        <f t="shared" si="3"/>
        <v>2.8121831189896921E-2</v>
      </c>
    </row>
    <row r="57" spans="1:15" x14ac:dyDescent="0.2">
      <c r="A57" s="12">
        <v>0.47</v>
      </c>
      <c r="B57" s="12">
        <f t="shared" ca="1" si="4"/>
        <v>104.48801373564061</v>
      </c>
      <c r="C57" s="13">
        <f t="shared" ca="1" si="5"/>
        <v>0.71100576508314173</v>
      </c>
      <c r="D57" s="14">
        <f t="shared" ca="1" si="6"/>
        <v>5.7837058440600164E-2</v>
      </c>
      <c r="E57" s="14">
        <f t="shared" ca="1" si="7"/>
        <v>6.0432793567704781</v>
      </c>
      <c r="F57" s="14">
        <f t="shared" ca="1" si="8"/>
        <v>75.131840797653751</v>
      </c>
      <c r="G57" s="14">
        <f t="shared" ca="1" si="9"/>
        <v>3.7575313444362421E-2</v>
      </c>
      <c r="K57" s="12">
        <v>48</v>
      </c>
      <c r="L57" s="12">
        <f t="shared" si="0"/>
        <v>0.55799591741062171</v>
      </c>
      <c r="M57" s="12">
        <f t="shared" si="1"/>
        <v>0.57165660253037676</v>
      </c>
      <c r="N57" s="12">
        <f t="shared" si="2"/>
        <v>4.1116590661686263E-2</v>
      </c>
      <c r="O57" s="12">
        <f t="shared" si="3"/>
        <v>2.7256214997402949E-2</v>
      </c>
    </row>
    <row r="58" spans="1:15" x14ac:dyDescent="0.2">
      <c r="A58" s="12">
        <v>0.48</v>
      </c>
      <c r="B58" s="12">
        <f t="shared" ca="1" si="4"/>
        <v>105.38635332747408</v>
      </c>
      <c r="C58" s="13">
        <f t="shared" ca="1" si="5"/>
        <v>0.73110355212478451</v>
      </c>
      <c r="D58" s="14">
        <f t="shared" ca="1" si="6"/>
        <v>2.0097787041642778E-2</v>
      </c>
      <c r="E58" s="14">
        <f t="shared" ca="1" si="7"/>
        <v>2.1180324862708959</v>
      </c>
      <c r="F58" s="14">
        <f t="shared" ca="1" si="8"/>
        <v>77.287448597369007</v>
      </c>
      <c r="G58" s="14">
        <f t="shared" ca="1" si="9"/>
        <v>3.8653386840108939E-2</v>
      </c>
      <c r="K58" s="12">
        <v>49</v>
      </c>
      <c r="L58" s="12">
        <f t="shared" si="0"/>
        <v>0.5983143194965993</v>
      </c>
      <c r="M58" s="12">
        <f t="shared" si="1"/>
        <v>0.59844498098435472</v>
      </c>
      <c r="N58" s="12">
        <f t="shared" si="2"/>
        <v>3.9465909125751292E-2</v>
      </c>
      <c r="O58" s="12">
        <f t="shared" si="3"/>
        <v>2.6308391454591115E-2</v>
      </c>
    </row>
    <row r="59" spans="1:15" x14ac:dyDescent="0.2">
      <c r="A59" s="12">
        <v>0.49</v>
      </c>
      <c r="B59" s="12">
        <f t="shared" ca="1" si="4"/>
        <v>103.1875863484192</v>
      </c>
      <c r="C59" s="13">
        <f t="shared" ca="1" si="5"/>
        <v>0.68069477597000649</v>
      </c>
      <c r="D59" s="14">
        <f t="shared" ca="1" si="6"/>
        <v>-5.0408776154778012E-2</v>
      </c>
      <c r="E59" s="14">
        <f t="shared" ca="1" si="7"/>
        <v>-5.2015599421892906</v>
      </c>
      <c r="F59" s="14">
        <f t="shared" ca="1" si="8"/>
        <v>72.124542042019826</v>
      </c>
      <c r="G59" s="14">
        <f t="shared" ca="1" si="9"/>
        <v>3.6071288091541372E-2</v>
      </c>
      <c r="K59" s="12">
        <v>50</v>
      </c>
      <c r="L59" s="12">
        <f t="shared" si="0"/>
        <v>0.63683058735763587</v>
      </c>
      <c r="M59" s="12">
        <f t="shared" si="1"/>
        <v>0.62425166000152932</v>
      </c>
      <c r="N59" s="12">
        <f t="shared" si="2"/>
        <v>3.7524035011739301E-2</v>
      </c>
      <c r="O59" s="12">
        <f t="shared" si="3"/>
        <v>2.5295529090210621E-2</v>
      </c>
    </row>
    <row r="60" spans="1:15" x14ac:dyDescent="0.2">
      <c r="A60" s="12">
        <v>0.5</v>
      </c>
      <c r="B60" s="12">
        <f t="shared" ca="1" si="4"/>
        <v>105.74214470509273</v>
      </c>
      <c r="C60" s="13">
        <f t="shared" ca="1" si="5"/>
        <v>0.73965720782995314</v>
      </c>
      <c r="D60" s="14">
        <f t="shared" ca="1" si="6"/>
        <v>5.8962431859946651E-2</v>
      </c>
      <c r="E60" s="14">
        <f t="shared" ca="1" si="7"/>
        <v>6.2348140018986484</v>
      </c>
      <c r="F60" s="14">
        <f t="shared" ca="1" si="8"/>
        <v>78.395427332010001</v>
      </c>
      <c r="G60" s="14">
        <f t="shared" ca="1" si="9"/>
        <v>3.920751472785694E-2</v>
      </c>
      <c r="K60" s="12">
        <v>51</v>
      </c>
      <c r="L60" s="12">
        <f t="shared" si="0"/>
        <v>0.67328888605899173</v>
      </c>
      <c r="M60" s="12">
        <f t="shared" si="1"/>
        <v>0.64901972646669404</v>
      </c>
      <c r="N60" s="12">
        <f t="shared" si="2"/>
        <v>3.5361463859360606E-2</v>
      </c>
      <c r="O60" s="12">
        <f t="shared" si="3"/>
        <v>2.4233686896545828E-2</v>
      </c>
    </row>
    <row r="61" spans="1:15" x14ac:dyDescent="0.2">
      <c r="A61" s="12">
        <v>0.51</v>
      </c>
      <c r="B61" s="12">
        <f t="shared" ca="1" si="4"/>
        <v>104.15491603840889</v>
      </c>
      <c r="C61" s="13">
        <f t="shared" ca="1" si="5"/>
        <v>0.70394467547259487</v>
      </c>
      <c r="D61" s="14">
        <f t="shared" ca="1" si="6"/>
        <v>-3.5712532357358273E-2</v>
      </c>
      <c r="E61" s="14">
        <f t="shared" ca="1" si="7"/>
        <v>-3.7196358091996116</v>
      </c>
      <c r="F61" s="14">
        <f t="shared" ca="1" si="8"/>
        <v>74.714999037538249</v>
      </c>
      <c r="G61" s="14">
        <f t="shared" ca="1" si="9"/>
        <v>3.7366840450399404E-2</v>
      </c>
      <c r="K61" s="12">
        <v>52</v>
      </c>
      <c r="L61" s="12">
        <f t="shared" si="0"/>
        <v>0.70750265336774365</v>
      </c>
      <c r="M61" s="12">
        <f t="shared" si="1"/>
        <v>0.67270769548768217</v>
      </c>
      <c r="N61" s="12">
        <f t="shared" si="2"/>
        <v>3.3045863376850622E-2</v>
      </c>
      <c r="O61" s="12">
        <f t="shared" si="3"/>
        <v>2.3137655452114714E-2</v>
      </c>
    </row>
    <row r="62" spans="1:15" x14ac:dyDescent="0.2">
      <c r="A62" s="12">
        <v>0.52</v>
      </c>
      <c r="B62" s="12">
        <f t="shared" ca="1" si="4"/>
        <v>106.22733827933097</v>
      </c>
      <c r="C62" s="13">
        <f t="shared" ca="1" si="5"/>
        <v>0.75126263192632892</v>
      </c>
      <c r="D62" s="14">
        <f t="shared" ca="1" si="6"/>
        <v>4.7317956453734045E-2</v>
      </c>
      <c r="E62" s="14">
        <f t="shared" ca="1" si="7"/>
        <v>5.026460566897458</v>
      </c>
      <c r="F62" s="14">
        <f t="shared" ca="1" si="8"/>
        <v>79.778826444886107</v>
      </c>
      <c r="G62" s="14">
        <f t="shared" ca="1" si="9"/>
        <v>3.9899387238008406E-2</v>
      </c>
      <c r="K62" s="12">
        <v>53</v>
      </c>
      <c r="L62" s="12">
        <f t="shared" si="0"/>
        <v>0.73935063491444797</v>
      </c>
      <c r="M62" s="12">
        <f t="shared" si="1"/>
        <v>0.69528819482473025</v>
      </c>
      <c r="N62" s="12">
        <f t="shared" si="2"/>
        <v>3.0639846752115157E-2</v>
      </c>
      <c r="O62" s="12">
        <f t="shared" si="3"/>
        <v>2.2020858097453608E-2</v>
      </c>
    </row>
    <row r="63" spans="1:15" x14ac:dyDescent="0.2">
      <c r="A63" s="12">
        <v>0.53</v>
      </c>
      <c r="B63" s="12">
        <f t="shared" ca="1" si="4"/>
        <v>109.56444673948512</v>
      </c>
      <c r="C63" s="13">
        <f t="shared" ca="1" si="5"/>
        <v>0.81756739129015987</v>
      </c>
      <c r="D63" s="14">
        <f t="shared" ca="1" si="6"/>
        <v>6.6304759363830956E-2</v>
      </c>
      <c r="E63" s="14">
        <f t="shared" ca="1" si="7"/>
        <v>7.2646442758928345</v>
      </c>
      <c r="F63" s="14">
        <f t="shared" ca="1" si="8"/>
        <v>87.08337010801695</v>
      </c>
      <c r="G63" s="14">
        <f t="shared" ca="1" si="9"/>
        <v>4.35525722897281E-2</v>
      </c>
      <c r="K63" s="12">
        <v>54</v>
      </c>
      <c r="L63" s="12">
        <f t="shared" si="0"/>
        <v>0.7687710039452913</v>
      </c>
      <c r="M63" s="12">
        <f t="shared" si="1"/>
        <v>0.71674657279912957</v>
      </c>
      <c r="N63" s="12">
        <f t="shared" si="2"/>
        <v>2.8199416183829578E-2</v>
      </c>
      <c r="O63" s="12">
        <f t="shared" si="3"/>
        <v>2.0895303123836782E-2</v>
      </c>
    </row>
    <row r="64" spans="1:15" x14ac:dyDescent="0.2">
      <c r="A64" s="12">
        <v>0.54</v>
      </c>
      <c r="B64" s="12">
        <f t="shared" ca="1" si="4"/>
        <v>111.93686579950553</v>
      </c>
      <c r="C64" s="13">
        <f t="shared" ca="1" si="5"/>
        <v>0.85739638108744864</v>
      </c>
      <c r="D64" s="14">
        <f t="shared" ca="1" si="6"/>
        <v>3.9828989797288772E-2</v>
      </c>
      <c r="E64" s="14">
        <f t="shared" ca="1" si="7"/>
        <v>4.4583322858689884</v>
      </c>
      <c r="F64" s="14">
        <f t="shared" ca="1" si="8"/>
        <v>91.585254966175668</v>
      </c>
      <c r="G64" s="14">
        <f t="shared" ca="1" si="9"/>
        <v>4.5804077548215333E-2</v>
      </c>
      <c r="K64" s="12">
        <v>55</v>
      </c>
      <c r="L64" s="12">
        <f t="shared" si="0"/>
        <v>0.79575422786143846</v>
      </c>
      <c r="M64" s="12">
        <f t="shared" si="1"/>
        <v>0.73707947803642804</v>
      </c>
      <c r="N64" s="12">
        <f t="shared" si="2"/>
        <v>2.5773022031991898E-2</v>
      </c>
      <c r="O64" s="12">
        <f t="shared" si="3"/>
        <v>1.9771578146340188E-2</v>
      </c>
    </row>
    <row r="65" spans="1:15" x14ac:dyDescent="0.2">
      <c r="A65" s="12">
        <v>0.55000000000000004</v>
      </c>
      <c r="B65" s="12">
        <f t="shared" ca="1" si="4"/>
        <v>110.57132586134166</v>
      </c>
      <c r="C65" s="13">
        <f t="shared" ca="1" si="5"/>
        <v>0.83739304965573136</v>
      </c>
      <c r="D65" s="14">
        <f t="shared" ca="1" si="6"/>
        <v>-2.0003331431717286E-2</v>
      </c>
      <c r="E65" s="14">
        <f t="shared" ca="1" si="7"/>
        <v>-2.2117948780488299</v>
      </c>
      <c r="F65" s="14">
        <f t="shared" ca="1" si="8"/>
        <v>89.419264165675045</v>
      </c>
      <c r="G65" s="14">
        <f t="shared" ca="1" si="9"/>
        <v>4.4720811353984695E-2</v>
      </c>
      <c r="K65" s="12">
        <v>56</v>
      </c>
      <c r="L65" s="12">
        <f t="shared" si="0"/>
        <v>0.82033526576871219</v>
      </c>
      <c r="M65" s="12">
        <f t="shared" si="1"/>
        <v>0.75629345011225235</v>
      </c>
      <c r="N65" s="12">
        <f t="shared" si="2"/>
        <v>2.3401155238239373E-2</v>
      </c>
      <c r="O65" s="12">
        <f t="shared" si="3"/>
        <v>1.8658878352533454E-2</v>
      </c>
    </row>
    <row r="66" spans="1:15" x14ac:dyDescent="0.2">
      <c r="A66" s="12">
        <v>0.56000000000000005</v>
      </c>
      <c r="B66" s="12">
        <f t="shared" ca="1" si="4"/>
        <v>108.22814396941688</v>
      </c>
      <c r="C66" s="13">
        <f t="shared" ca="1" si="5"/>
        <v>0.79621740325628676</v>
      </c>
      <c r="D66" s="14">
        <f t="shared" ca="1" si="6"/>
        <v>-4.1175646399444599E-2</v>
      </c>
      <c r="E66" s="14">
        <f t="shared" ca="1" si="7"/>
        <v>-4.4563637865528918</v>
      </c>
      <c r="F66" s="14">
        <f t="shared" ca="1" si="8"/>
        <v>85.007621190476129</v>
      </c>
      <c r="G66" s="14">
        <f t="shared" ca="1" si="9"/>
        <v>4.2514438319093004E-2</v>
      </c>
      <c r="K66" s="12">
        <v>57</v>
      </c>
      <c r="L66" s="12">
        <f t="shared" si="0"/>
        <v>0.84258558608791256</v>
      </c>
      <c r="M66" s="12">
        <f t="shared" si="1"/>
        <v>0.77440355175508691</v>
      </c>
      <c r="N66" s="12">
        <f t="shared" si="2"/>
        <v>2.1116376361592689E-2</v>
      </c>
      <c r="O66" s="12">
        <f t="shared" si="3"/>
        <v>1.7565061039258506E-2</v>
      </c>
    </row>
    <row r="67" spans="1:15" x14ac:dyDescent="0.2">
      <c r="A67" s="12">
        <v>0.56999999999999995</v>
      </c>
      <c r="B67" s="12">
        <f t="shared" ca="1" si="4"/>
        <v>107.68789048981979</v>
      </c>
      <c r="C67" s="13">
        <f t="shared" ca="1" si="5"/>
        <v>0.78647964596712083</v>
      </c>
      <c r="D67" s="14">
        <f t="shared" ca="1" si="6"/>
        <v>-9.737757289165927E-3</v>
      </c>
      <c r="E67" s="14">
        <f t="shared" ca="1" si="7"/>
        <v>-1.0486385405721448</v>
      </c>
      <c r="F67" s="14">
        <f t="shared" ca="1" si="8"/>
        <v>84.001497088223076</v>
      </c>
      <c r="G67" s="14">
        <f t="shared" ca="1" si="9"/>
        <v>4.2011250481490243E-2</v>
      </c>
      <c r="K67" s="12">
        <v>58</v>
      </c>
      <c r="L67" s="12">
        <f t="shared" si="0"/>
        <v>0.8626053916652181</v>
      </c>
      <c r="M67" s="12">
        <f t="shared" si="1"/>
        <v>0.79143206579722536</v>
      </c>
      <c r="N67" s="12">
        <f t="shared" si="2"/>
        <v>1.8943681071811869E-2</v>
      </c>
      <c r="O67" s="12">
        <f t="shared" si="3"/>
        <v>1.6496719686166738E-2</v>
      </c>
    </row>
    <row r="68" spans="1:15" x14ac:dyDescent="0.2">
      <c r="A68" s="12">
        <v>0.57999999999999996</v>
      </c>
      <c r="B68" s="12">
        <f t="shared" ca="1" si="4"/>
        <v>107.79559084446221</v>
      </c>
      <c r="C68" s="13">
        <f t="shared" ca="1" si="5"/>
        <v>0.78987203179633314</v>
      </c>
      <c r="D68" s="14">
        <f t="shared" ca="1" si="6"/>
        <v>3.3923858292123077E-3</v>
      </c>
      <c r="E68" s="14">
        <f t="shared" ca="1" si="7"/>
        <v>0.3656842348323216</v>
      </c>
      <c r="F68" s="14">
        <f t="shared" ca="1" si="8"/>
        <v>84.409192573536885</v>
      </c>
      <c r="G68" s="14">
        <f t="shared" ca="1" si="9"/>
        <v>4.2215149194577493E-2</v>
      </c>
      <c r="K68" s="12">
        <v>59</v>
      </c>
      <c r="L68" s="12">
        <f t="shared" si="0"/>
        <v>0.88051634024071024</v>
      </c>
      <c r="M68" s="12">
        <f t="shared" si="1"/>
        <v>0.80740727357732278</v>
      </c>
      <c r="N68" s="12">
        <f t="shared" si="2"/>
        <v>1.6901106424516636E-2</v>
      </c>
      <c r="O68" s="12">
        <f t="shared" si="3"/>
        <v>1.5459271698862366E-2</v>
      </c>
    </row>
    <row r="69" spans="1:15" x14ac:dyDescent="0.2">
      <c r="A69" s="12">
        <v>0.59</v>
      </c>
      <c r="B69" s="12">
        <f t="shared" ca="1" si="4"/>
        <v>109.70558644430332</v>
      </c>
      <c r="C69" s="13">
        <f t="shared" ca="1" si="5"/>
        <v>0.82828988991431374</v>
      </c>
      <c r="D69" s="14">
        <f t="shared" ca="1" si="6"/>
        <v>3.8417858117980597E-2</v>
      </c>
      <c r="E69" s="14">
        <f t="shared" ca="1" si="7"/>
        <v>4.2146536547671003</v>
      </c>
      <c r="F69" s="14">
        <f t="shared" ca="1" si="8"/>
        <v>88.666061377498565</v>
      </c>
      <c r="G69" s="14">
        <f t="shared" ca="1" si="9"/>
        <v>4.4344115793854312E-2</v>
      </c>
      <c r="K69" s="12">
        <v>60</v>
      </c>
      <c r="L69" s="12">
        <f t="shared" si="0"/>
        <v>0.89645495662543195</v>
      </c>
      <c r="M69" s="12">
        <f t="shared" si="1"/>
        <v>0.82236232596905023</v>
      </c>
      <c r="N69" s="12">
        <f t="shared" si="2"/>
        <v>1.5000492055017033E-2</v>
      </c>
      <c r="O69" s="12">
        <f t="shared" si="3"/>
        <v>1.4457054836509831E-2</v>
      </c>
    </row>
    <row r="70" spans="1:15" x14ac:dyDescent="0.2">
      <c r="A70" s="12">
        <v>0.6</v>
      </c>
      <c r="B70" s="12">
        <f t="shared" ca="1" si="4"/>
        <v>107.23969561990515</v>
      </c>
      <c r="C70" s="13">
        <f t="shared" ca="1" si="5"/>
        <v>0.78051637520716077</v>
      </c>
      <c r="D70" s="14">
        <f t="shared" ca="1" si="6"/>
        <v>-4.7773514707152964E-2</v>
      </c>
      <c r="E70" s="14">
        <f t="shared" ca="1" si="7"/>
        <v>-5.1232171758881462</v>
      </c>
      <c r="F70" s="14">
        <f t="shared" ca="1" si="8"/>
        <v>83.587188317404269</v>
      </c>
      <c r="G70" s="14">
        <f t="shared" ca="1" si="9"/>
        <v>4.1804044298852011E-2</v>
      </c>
      <c r="K70" s="12">
        <v>61</v>
      </c>
      <c r="L70" s="12">
        <f t="shared" si="0"/>
        <v>0.91056685329222997</v>
      </c>
      <c r="M70" s="12">
        <f t="shared" si="1"/>
        <v>0.83633421359322602</v>
      </c>
      <c r="N70" s="12">
        <f t="shared" si="2"/>
        <v>1.3248323279312224E-2</v>
      </c>
      <c r="O70" s="12">
        <f t="shared" si="3"/>
        <v>1.3493428182908031E-2</v>
      </c>
    </row>
    <row r="71" spans="1:15" x14ac:dyDescent="0.2">
      <c r="A71" s="12">
        <v>0.61</v>
      </c>
      <c r="B71" s="12">
        <f t="shared" ca="1" si="4"/>
        <v>106.36662958751337</v>
      </c>
      <c r="C71" s="13">
        <f t="shared" ca="1" si="5"/>
        <v>0.7619980125891056</v>
      </c>
      <c r="D71" s="14">
        <f t="shared" ca="1" si="6"/>
        <v>-1.8518362618055173E-2</v>
      </c>
      <c r="E71" s="14">
        <f t="shared" ca="1" si="7"/>
        <v>-1.969735817161929</v>
      </c>
      <c r="F71" s="14">
        <f t="shared" ca="1" si="8"/>
        <v>81.659256544541194</v>
      </c>
      <c r="G71" s="14">
        <f t="shared" ca="1" si="9"/>
        <v>4.0839837380778767E-2</v>
      </c>
      <c r="K71" s="12">
        <v>62</v>
      </c>
      <c r="L71" s="12">
        <f t="shared" si="0"/>
        <v>0.92300181017619043</v>
      </c>
      <c r="M71" s="12">
        <f t="shared" si="1"/>
        <v>0.84936283899739062</v>
      </c>
      <c r="N71" s="12">
        <f t="shared" si="2"/>
        <v>1.1646597145816015E-2</v>
      </c>
      <c r="O71" s="12">
        <f t="shared" si="3"/>
        <v>1.2570874302495445E-2</v>
      </c>
    </row>
    <row r="72" spans="1:15" x14ac:dyDescent="0.2">
      <c r="A72" s="12">
        <v>0.62</v>
      </c>
      <c r="B72" s="12">
        <f t="shared" ca="1" si="4"/>
        <v>106.20735101419652</v>
      </c>
      <c r="C72" s="13">
        <f t="shared" ca="1" si="5"/>
        <v>0.75935487629394482</v>
      </c>
      <c r="D72" s="14">
        <f t="shared" ca="1" si="6"/>
        <v>-2.6431362951607751E-3</v>
      </c>
      <c r="E72" s="14">
        <f t="shared" ca="1" si="7"/>
        <v>-0.28072050427850337</v>
      </c>
      <c r="F72" s="14">
        <f t="shared" ca="1" si="8"/>
        <v>81.419375877643461</v>
      </c>
      <c r="G72" s="14">
        <f t="shared" ca="1" si="9"/>
        <v>4.0719867057248421E-2</v>
      </c>
      <c r="K72" s="12">
        <v>63</v>
      </c>
      <c r="L72" s="12">
        <f t="shared" si="0"/>
        <v>0.93390971267944356</v>
      </c>
      <c r="M72" s="12">
        <f t="shared" si="1"/>
        <v>0.86149019057601073</v>
      </c>
      <c r="N72" s="12">
        <f t="shared" si="2"/>
        <v>1.0193666377879914E-2</v>
      </c>
      <c r="O72" s="12">
        <f t="shared" si="3"/>
        <v>1.1691099929199309E-2</v>
      </c>
    </row>
    <row r="73" spans="1:15" x14ac:dyDescent="0.2">
      <c r="A73" s="12">
        <v>0.63</v>
      </c>
      <c r="B73" s="12">
        <f t="shared" ca="1" si="4"/>
        <v>108.81922174372524</v>
      </c>
      <c r="C73" s="13">
        <f t="shared" ca="1" si="5"/>
        <v>0.81796283022128968</v>
      </c>
      <c r="D73" s="14">
        <f t="shared" ca="1" si="6"/>
        <v>5.8607953927344858E-2</v>
      </c>
      <c r="E73" s="14">
        <f t="shared" ca="1" si="7"/>
        <v>6.3776719343657726</v>
      </c>
      <c r="F73" s="14">
        <f t="shared" ca="1" si="8"/>
        <v>87.837767679066488</v>
      </c>
      <c r="G73" s="14">
        <f t="shared" ca="1" si="9"/>
        <v>4.3929865390667767E-2</v>
      </c>
      <c r="K73" s="12">
        <v>64</v>
      </c>
      <c r="L73" s="12">
        <f t="shared" si="0"/>
        <v>0.9434373084748382</v>
      </c>
      <c r="M73" s="12">
        <f t="shared" si="1"/>
        <v>0.87275961566885574</v>
      </c>
      <c r="N73" s="12">
        <f t="shared" si="2"/>
        <v>8.8850289601689388E-3</v>
      </c>
      <c r="O73" s="12">
        <f t="shared" si="3"/>
        <v>1.0855133159482307E-2</v>
      </c>
    </row>
    <row r="74" spans="1:15" x14ac:dyDescent="0.2">
      <c r="A74" s="12">
        <v>0.64</v>
      </c>
      <c r="B74" s="12">
        <f t="shared" ca="1" si="4"/>
        <v>106.3021809806488</v>
      </c>
      <c r="C74" s="13">
        <f t="shared" ca="1" si="5"/>
        <v>0.76402103987063152</v>
      </c>
      <c r="D74" s="14">
        <f t="shared" ca="1" si="6"/>
        <v>-5.3941790350658159E-2</v>
      </c>
      <c r="E74" s="14">
        <f t="shared" ca="1" si="7"/>
        <v>-5.7341299602758786</v>
      </c>
      <c r="F74" s="14">
        <f t="shared" ca="1" si="8"/>
        <v>82.147567584181274</v>
      </c>
      <c r="G74" s="14">
        <f t="shared" ca="1" si="9"/>
        <v>4.1084053949653136E-2</v>
      </c>
      <c r="K74" s="12">
        <v>65</v>
      </c>
      <c r="L74" s="12">
        <f t="shared" si="0"/>
        <v>0.95172571729654742</v>
      </c>
      <c r="M74" s="12">
        <f t="shared" si="1"/>
        <v>0.88321518852569547</v>
      </c>
      <c r="N74" s="12">
        <f t="shared" si="2"/>
        <v>7.7140422988419321E-3</v>
      </c>
      <c r="O74" s="12">
        <f t="shared" si="3"/>
        <v>1.0063415659850377E-2</v>
      </c>
    </row>
    <row r="75" spans="1:15" x14ac:dyDescent="0.2">
      <c r="A75" s="12">
        <v>0.65</v>
      </c>
      <c r="B75" s="12">
        <f t="shared" ca="1" si="4"/>
        <v>104.64815748811336</v>
      </c>
      <c r="C75" s="13">
        <f t="shared" ca="1" si="5"/>
        <v>0.72275567362796866</v>
      </c>
      <c r="D75" s="14">
        <f t="shared" ca="1" si="6"/>
        <v>-4.126536624266286E-2</v>
      </c>
      <c r="E75" s="14">
        <f t="shared" ca="1" si="7"/>
        <v>-4.3183445453668599</v>
      </c>
      <c r="F75" s="14">
        <f t="shared" ca="1" si="8"/>
        <v>77.870307092764065</v>
      </c>
      <c r="G75" s="14">
        <f t="shared" ca="1" si="9"/>
        <v>3.8944888957262745E-2</v>
      </c>
      <c r="K75" s="12">
        <v>66</v>
      </c>
      <c r="L75" s="12">
        <f t="shared" ref="L75:L109" si="10">CallDelta(K75,0.2,0,$B$3,50,$B$5)</f>
        <v>0.95890861170526231</v>
      </c>
      <c r="M75" s="12">
        <f t="shared" ref="M75:M109" si="11">CallDelta(K75,0.3,0,$B$3,50,$B$5)</f>
        <v>0.89290116757583726</v>
      </c>
      <c r="N75" s="12">
        <f t="shared" ref="N75:N109" si="12">CallGamma(K75,0.2,0,0.05,50,1)</f>
        <v>6.6725501693047527E-3</v>
      </c>
      <c r="O75" s="12">
        <f t="shared" ref="O75:O109" si="13">CallGamma(K75,0.3,0,0.05,50,1)</f>
        <v>9.3158888558591522E-3</v>
      </c>
    </row>
    <row r="76" spans="1:15" x14ac:dyDescent="0.2">
      <c r="A76" s="12">
        <v>0.66</v>
      </c>
      <c r="B76" s="12">
        <f t="shared" ref="B76:B110" ca="1" si="14">B75*EXP(($B$3-0.5*$B$4^2)*$A$11+$B$4*NORMSINV(RAND())*SQRT($A$11))</f>
        <v>106.88543732437543</v>
      </c>
      <c r="C76" s="13">
        <f t="shared" ref="C76:C109" ca="1" si="15">CallDelta(B76,$B$4,0,$B$3,$B$2,$B$5-A76)</f>
        <v>0.78084959660990583</v>
      </c>
      <c r="D76" s="14">
        <f t="shared" ref="D76:D109" ca="1" si="16">(C76-C75)*$B$6</f>
        <v>5.8093922981937163E-2</v>
      </c>
      <c r="E76" s="14">
        <f t="shared" ref="E76:E109" ca="1" si="17">D76*B76</f>
        <v>6.2093943638129376</v>
      </c>
      <c r="F76" s="14">
        <f t="shared" ref="F76:F109" ca="1" si="18">F75+G75+E76</f>
        <v>84.118646345534259</v>
      </c>
      <c r="G76" s="14">
        <f t="shared" ref="G76:G109" ca="1" si="19">F76*(EXP($B$3*$A$11)-1)</f>
        <v>4.2069839756243899E-2</v>
      </c>
      <c r="K76" s="12">
        <v>67</v>
      </c>
      <c r="L76" s="12">
        <f t="shared" si="10"/>
        <v>0.96511097889970898</v>
      </c>
      <c r="M76" s="12">
        <f t="shared" si="11"/>
        <v>0.90186153560969262</v>
      </c>
      <c r="N76" s="12">
        <f t="shared" si="12"/>
        <v>5.75141801782038E-3</v>
      </c>
      <c r="O76" s="12">
        <f t="shared" si="13"/>
        <v>8.6120734493345431E-3</v>
      </c>
    </row>
    <row r="77" spans="1:15" x14ac:dyDescent="0.2">
      <c r="A77" s="12">
        <v>0.67</v>
      </c>
      <c r="B77" s="12">
        <f t="shared" ca="1" si="14"/>
        <v>110.03228093196167</v>
      </c>
      <c r="C77" s="13">
        <f t="shared" ca="1" si="15"/>
        <v>0.84924066454412495</v>
      </c>
      <c r="D77" s="14">
        <f t="shared" ca="1" si="16"/>
        <v>6.8391067934219119E-2</v>
      </c>
      <c r="E77" s="14">
        <f t="shared" ca="1" si="17"/>
        <v>7.525225200174873</v>
      </c>
      <c r="F77" s="14">
        <f t="shared" ca="1" si="18"/>
        <v>91.68594138546537</v>
      </c>
      <c r="G77" s="14">
        <f t="shared" ca="1" si="19"/>
        <v>4.5854433345760476E-2</v>
      </c>
      <c r="K77" s="12">
        <v>68</v>
      </c>
      <c r="L77" s="12">
        <f t="shared" si="10"/>
        <v>0.97044837213738067</v>
      </c>
      <c r="M77" s="12">
        <f t="shared" si="11"/>
        <v>0.91013961599176707</v>
      </c>
      <c r="N77" s="12">
        <f t="shared" si="12"/>
        <v>4.9409777156625805E-3</v>
      </c>
      <c r="O77" s="12">
        <f t="shared" si="13"/>
        <v>7.9511419197901435E-3</v>
      </c>
    </row>
    <row r="78" spans="1:15" x14ac:dyDescent="0.2">
      <c r="A78" s="12">
        <v>0.68</v>
      </c>
      <c r="B78" s="12">
        <f t="shared" ca="1" si="14"/>
        <v>112.92789277348315</v>
      </c>
      <c r="C78" s="13">
        <f t="shared" ca="1" si="15"/>
        <v>0.89842158367998759</v>
      </c>
      <c r="D78" s="14">
        <f t="shared" ca="1" si="16"/>
        <v>4.9180919135862644E-2</v>
      </c>
      <c r="E78" s="14">
        <f t="shared" ca="1" si="17"/>
        <v>5.5538975626760427</v>
      </c>
      <c r="F78" s="14">
        <f t="shared" ca="1" si="18"/>
        <v>97.285693381487178</v>
      </c>
      <c r="G78" s="14">
        <f t="shared" ca="1" si="19"/>
        <v>4.8655009429446484E-2</v>
      </c>
      <c r="K78" s="12">
        <v>69</v>
      </c>
      <c r="L78" s="12">
        <f t="shared" si="10"/>
        <v>0.97502656350895545</v>
      </c>
      <c r="M78" s="12">
        <f t="shared" si="11"/>
        <v>0.917777757813105</v>
      </c>
      <c r="N78" s="12">
        <f t="shared" si="12"/>
        <v>4.2313867792974202E-3</v>
      </c>
      <c r="O78" s="12">
        <f t="shared" si="13"/>
        <v>7.3319839124383838E-3</v>
      </c>
    </row>
    <row r="79" spans="1:15" x14ac:dyDescent="0.2">
      <c r="A79" s="12">
        <v>0.69</v>
      </c>
      <c r="B79" s="12">
        <f t="shared" ca="1" si="14"/>
        <v>109.31235444374356</v>
      </c>
      <c r="C79" s="13">
        <f t="shared" ca="1" si="15"/>
        <v>0.8400023811395223</v>
      </c>
      <c r="D79" s="14">
        <f t="shared" ca="1" si="16"/>
        <v>-5.8419202540465287E-2</v>
      </c>
      <c r="E79" s="14">
        <f t="shared" ca="1" si="17"/>
        <v>-6.3859405744241853</v>
      </c>
      <c r="F79" s="14">
        <f t="shared" ca="1" si="18"/>
        <v>90.948407816492448</v>
      </c>
      <c r="G79" s="14">
        <f t="shared" ca="1" si="19"/>
        <v>4.5485574354210759E-2</v>
      </c>
      <c r="K79" s="12">
        <v>70</v>
      </c>
      <c r="L79" s="12">
        <f t="shared" si="10"/>
        <v>0.97894151619336478</v>
      </c>
      <c r="M79" s="12">
        <f t="shared" si="11"/>
        <v>0.9248170828972142</v>
      </c>
      <c r="N79" s="12">
        <f t="shared" si="12"/>
        <v>3.6129096155320395E-3</v>
      </c>
      <c r="O79" s="12">
        <f t="shared" si="13"/>
        <v>6.7532646066084841E-3</v>
      </c>
    </row>
    <row r="80" spans="1:15" x14ac:dyDescent="0.2">
      <c r="A80" s="12">
        <v>0.7</v>
      </c>
      <c r="B80" s="12">
        <f t="shared" ca="1" si="14"/>
        <v>109.67082489078491</v>
      </c>
      <c r="C80" s="13">
        <f t="shared" ca="1" si="15"/>
        <v>0.84952612355445378</v>
      </c>
      <c r="D80" s="14">
        <f t="shared" ca="1" si="16"/>
        <v>9.5237424149314798E-3</v>
      </c>
      <c r="E80" s="14">
        <f t="shared" ca="1" si="17"/>
        <v>1.0444766866928914</v>
      </c>
      <c r="F80" s="14">
        <f t="shared" ca="1" si="18"/>
        <v>92.038370077539554</v>
      </c>
      <c r="G80" s="14">
        <f t="shared" ca="1" si="19"/>
        <v>4.6030691752727233E-2</v>
      </c>
      <c r="K80" s="12">
        <v>71</v>
      </c>
      <c r="L80" s="12">
        <f t="shared" si="10"/>
        <v>0.98227960266930481</v>
      </c>
      <c r="M80" s="12">
        <f t="shared" si="11"/>
        <v>0.93129728774577181</v>
      </c>
      <c r="N80" s="12">
        <f t="shared" si="12"/>
        <v>3.0761297872177584E-3</v>
      </c>
      <c r="O80" s="12">
        <f t="shared" si="13"/>
        <v>6.213476302545603E-3</v>
      </c>
    </row>
    <row r="81" spans="1:15" x14ac:dyDescent="0.2">
      <c r="A81" s="12">
        <v>0.71</v>
      </c>
      <c r="B81" s="12">
        <f t="shared" ca="1" si="14"/>
        <v>108.8141327677685</v>
      </c>
      <c r="C81" s="13">
        <f t="shared" ca="1" si="15"/>
        <v>0.83466734782078889</v>
      </c>
      <c r="D81" s="14">
        <f t="shared" ca="1" si="16"/>
        <v>-1.4858775733664897E-2</v>
      </c>
      <c r="E81" s="14">
        <f t="shared" ca="1" si="17"/>
        <v>-1.6168447954495089</v>
      </c>
      <c r="F81" s="14">
        <f t="shared" ca="1" si="18"/>
        <v>90.467555973842778</v>
      </c>
      <c r="G81" s="14">
        <f t="shared" ca="1" si="19"/>
        <v>4.5245088316386635E-2</v>
      </c>
      <c r="K81" s="12">
        <v>72</v>
      </c>
      <c r="L81" s="12">
        <f t="shared" si="10"/>
        <v>0.9851180046947301</v>
      </c>
      <c r="M81" s="12">
        <f t="shared" si="11"/>
        <v>0.93725649380552201</v>
      </c>
      <c r="N81" s="12">
        <f t="shared" si="12"/>
        <v>2.6121028728848818E-3</v>
      </c>
      <c r="O81" s="12">
        <f t="shared" si="13"/>
        <v>5.7109835688191838E-3</v>
      </c>
    </row>
    <row r="82" spans="1:15" x14ac:dyDescent="0.2">
      <c r="A82" s="12">
        <v>0.72</v>
      </c>
      <c r="B82" s="12">
        <f t="shared" ca="1" si="14"/>
        <v>111.30151398993705</v>
      </c>
      <c r="C82" s="13">
        <f t="shared" ca="1" si="15"/>
        <v>0.88433579955548269</v>
      </c>
      <c r="D82" s="14">
        <f t="shared" ca="1" si="16"/>
        <v>4.9668451734693808E-2</v>
      </c>
      <c r="E82" s="14">
        <f t="shared" ca="1" si="17"/>
        <v>5.5281738756075356</v>
      </c>
      <c r="F82" s="14">
        <f t="shared" ca="1" si="18"/>
        <v>96.040974937766705</v>
      </c>
      <c r="G82" s="14">
        <f t="shared" ca="1" si="19"/>
        <v>4.8032494591846012E-2</v>
      </c>
      <c r="K82" s="12">
        <v>73</v>
      </c>
      <c r="L82" s="12">
        <f t="shared" si="10"/>
        <v>0.98752524044633849</v>
      </c>
      <c r="M82" s="12">
        <f t="shared" si="11"/>
        <v>0.94273113981939283</v>
      </c>
      <c r="N82" s="12">
        <f t="shared" si="12"/>
        <v>2.2124594378876883E-3</v>
      </c>
      <c r="O82" s="12">
        <f t="shared" si="13"/>
        <v>5.244062363690633E-3</v>
      </c>
    </row>
    <row r="83" spans="1:15" x14ac:dyDescent="0.2">
      <c r="A83" s="12">
        <v>0.73</v>
      </c>
      <c r="B83" s="12">
        <f t="shared" ca="1" si="14"/>
        <v>110.38168808688179</v>
      </c>
      <c r="C83" s="13">
        <f t="shared" ca="1" si="15"/>
        <v>0.87124982399083295</v>
      </c>
      <c r="D83" s="14">
        <f t="shared" ca="1" si="16"/>
        <v>-1.3085975564649743E-2</v>
      </c>
      <c r="E83" s="14">
        <f t="shared" ca="1" si="17"/>
        <v>-1.4444520730897248</v>
      </c>
      <c r="F83" s="14">
        <f t="shared" ca="1" si="18"/>
        <v>94.644555359268836</v>
      </c>
      <c r="G83" s="14">
        <f t="shared" ca="1" si="19"/>
        <v>4.7334110221054181E-2</v>
      </c>
      <c r="K83" s="12">
        <v>74</v>
      </c>
      <c r="L83" s="12">
        <f t="shared" si="10"/>
        <v>0.98956177350280117</v>
      </c>
      <c r="M83" s="12">
        <f t="shared" si="11"/>
        <v>0.9477559104630976</v>
      </c>
      <c r="N83" s="12">
        <f t="shared" si="12"/>
        <v>1.869467138490971E-3</v>
      </c>
      <c r="O83" s="12">
        <f t="shared" si="13"/>
        <v>4.8109335878842507E-3</v>
      </c>
    </row>
    <row r="84" spans="1:15" x14ac:dyDescent="0.2">
      <c r="A84" s="12">
        <v>0.74</v>
      </c>
      <c r="B84" s="12">
        <f t="shared" ca="1" si="14"/>
        <v>112.94409526166275</v>
      </c>
      <c r="C84" s="13">
        <f t="shared" ca="1" si="15"/>
        <v>0.91497689650635994</v>
      </c>
      <c r="D84" s="14">
        <f t="shared" ca="1" si="16"/>
        <v>4.3727072515526988E-2</v>
      </c>
      <c r="E84" s="14">
        <f t="shared" ca="1" si="17"/>
        <v>4.9387146437073151</v>
      </c>
      <c r="F84" s="14">
        <f t="shared" ca="1" si="18"/>
        <v>99.630604113197208</v>
      </c>
      <c r="G84" s="14">
        <f t="shared" ca="1" si="19"/>
        <v>4.9827757958001172E-2</v>
      </c>
      <c r="K84" s="12">
        <v>75</v>
      </c>
      <c r="L84" s="12">
        <f t="shared" si="10"/>
        <v>0.99128066700057682</v>
      </c>
      <c r="M84" s="12">
        <f t="shared" si="11"/>
        <v>0.95236369593919434</v>
      </c>
      <c r="N84" s="12">
        <f t="shared" si="12"/>
        <v>1.576060202639543E-3</v>
      </c>
      <c r="O84" s="12">
        <f t="shared" si="13"/>
        <v>4.4097915486616263E-3</v>
      </c>
    </row>
    <row r="85" spans="1:15" x14ac:dyDescent="0.2">
      <c r="A85" s="12">
        <v>0.75</v>
      </c>
      <c r="B85" s="12">
        <f t="shared" ca="1" si="14"/>
        <v>112.46149537730643</v>
      </c>
      <c r="C85" s="13">
        <f t="shared" ca="1" si="15"/>
        <v>0.91139682425573898</v>
      </c>
      <c r="D85" s="14">
        <f t="shared" ca="1" si="16"/>
        <v>-3.5800722506209581E-3</v>
      </c>
      <c r="E85" s="14">
        <f t="shared" ca="1" si="17"/>
        <v>-0.40262027886363194</v>
      </c>
      <c r="F85" s="14">
        <f t="shared" ca="1" si="18"/>
        <v>99.27781159229157</v>
      </c>
      <c r="G85" s="14">
        <f t="shared" ca="1" si="19"/>
        <v>4.9651317591132511E-2</v>
      </c>
      <c r="K85" s="12">
        <v>76</v>
      </c>
      <c r="L85" s="12">
        <f t="shared" si="10"/>
        <v>0.99272825407315402</v>
      </c>
      <c r="M85" s="12">
        <f t="shared" si="11"/>
        <v>0.95658557768462982</v>
      </c>
      <c r="N85" s="12">
        <f t="shared" si="12"/>
        <v>1.3258435972158574E-3</v>
      </c>
      <c r="O85" s="12">
        <f t="shared" si="13"/>
        <v>4.0388278205967061E-3</v>
      </c>
    </row>
    <row r="86" spans="1:15" x14ac:dyDescent="0.2">
      <c r="A86" s="12">
        <v>0.76</v>
      </c>
      <c r="B86" s="12">
        <f t="shared" ca="1" si="14"/>
        <v>115.00634665032457</v>
      </c>
      <c r="C86" s="13">
        <f t="shared" ca="1" si="15"/>
        <v>0.94503044609950893</v>
      </c>
      <c r="D86" s="14">
        <f t="shared" ca="1" si="16"/>
        <v>3.3633621843769945E-2</v>
      </c>
      <c r="E86" s="14">
        <f t="shared" ca="1" si="17"/>
        <v>3.8680799728705351</v>
      </c>
      <c r="F86" s="14">
        <f t="shared" ca="1" si="18"/>
        <v>103.19554288275323</v>
      </c>
      <c r="G86" s="14">
        <f t="shared" ca="1" si="19"/>
        <v>5.1610673034403913E-2</v>
      </c>
      <c r="K86" s="12">
        <v>77</v>
      </c>
      <c r="L86" s="12">
        <f t="shared" si="10"/>
        <v>0.99394480249669048</v>
      </c>
      <c r="M86" s="12">
        <f t="shared" si="11"/>
        <v>0.96045083583036961</v>
      </c>
      <c r="N86" s="12">
        <f t="shared" si="12"/>
        <v>1.1130781961949539E-3</v>
      </c>
      <c r="O86" s="12">
        <f t="shared" si="13"/>
        <v>3.6962509809815073E-3</v>
      </c>
    </row>
    <row r="87" spans="1:15" x14ac:dyDescent="0.2">
      <c r="A87" s="12">
        <v>0.77</v>
      </c>
      <c r="B87" s="12">
        <f t="shared" ca="1" si="14"/>
        <v>112.23556073377982</v>
      </c>
      <c r="C87" s="13">
        <f t="shared" ca="1" si="15"/>
        <v>0.91485795078920273</v>
      </c>
      <c r="D87" s="14">
        <f t="shared" ca="1" si="16"/>
        <v>-3.0172495310306191E-2</v>
      </c>
      <c r="E87" s="14">
        <f t="shared" ca="1" si="17"/>
        <v>-3.3864269298895575</v>
      </c>
      <c r="F87" s="14">
        <f t="shared" ca="1" si="18"/>
        <v>99.860726625898081</v>
      </c>
      <c r="G87" s="14">
        <f t="shared" ca="1" si="19"/>
        <v>4.9942847984460498E-2</v>
      </c>
      <c r="K87" s="12">
        <v>78</v>
      </c>
      <c r="L87" s="12">
        <f t="shared" si="10"/>
        <v>0.99496515728161861</v>
      </c>
      <c r="M87" s="12">
        <f t="shared" si="11"/>
        <v>0.96398697452164561</v>
      </c>
      <c r="N87" s="12">
        <f t="shared" si="12"/>
        <v>9.3265227562028567E-4</v>
      </c>
      <c r="O87" s="12">
        <f t="shared" si="13"/>
        <v>3.3803026807216465E-3</v>
      </c>
    </row>
    <row r="88" spans="1:15" x14ac:dyDescent="0.2">
      <c r="A88" s="12">
        <v>0.78</v>
      </c>
      <c r="B88" s="12">
        <f t="shared" ca="1" si="14"/>
        <v>113.24974546350924</v>
      </c>
      <c r="C88" s="13">
        <f t="shared" ca="1" si="15"/>
        <v>0.93195921439370233</v>
      </c>
      <c r="D88" s="14">
        <f t="shared" ca="1" si="16"/>
        <v>1.7101263604499595E-2</v>
      </c>
      <c r="E88" s="14">
        <f t="shared" ca="1" si="17"/>
        <v>1.9367137503139538</v>
      </c>
      <c r="F88" s="14">
        <f t="shared" ca="1" si="18"/>
        <v>101.84738322419649</v>
      </c>
      <c r="G88" s="14">
        <f t="shared" ca="1" si="19"/>
        <v>5.0936424657078171E-2</v>
      </c>
      <c r="K88" s="12">
        <v>79</v>
      </c>
      <c r="L88" s="12">
        <f t="shared" si="10"/>
        <v>0.99581934980226539</v>
      </c>
      <c r="M88" s="12">
        <f t="shared" si="11"/>
        <v>0.96721976165653001</v>
      </c>
      <c r="N88" s="12">
        <f t="shared" si="12"/>
        <v>7.8004372619052201E-4</v>
      </c>
      <c r="O88" s="12">
        <f t="shared" si="13"/>
        <v>3.0892704876902127E-3</v>
      </c>
    </row>
    <row r="89" spans="1:15" x14ac:dyDescent="0.2">
      <c r="A89" s="12">
        <v>0.79</v>
      </c>
      <c r="B89" s="12">
        <f t="shared" ca="1" si="14"/>
        <v>111.73973592198649</v>
      </c>
      <c r="C89" s="13">
        <f t="shared" ca="1" si="15"/>
        <v>0.91489401307605445</v>
      </c>
      <c r="D89" s="14">
        <f t="shared" ca="1" si="16"/>
        <v>-1.7065201317647882E-2</v>
      </c>
      <c r="E89" s="14">
        <f t="shared" ca="1" si="17"/>
        <v>-1.9068610886895103</v>
      </c>
      <c r="F89" s="14">
        <f t="shared" ca="1" si="18"/>
        <v>99.991458560164062</v>
      </c>
      <c r="G89" s="14">
        <f t="shared" ca="1" si="19"/>
        <v>5.0008230295809183E-2</v>
      </c>
      <c r="K89" s="12">
        <v>80</v>
      </c>
      <c r="L89" s="12">
        <f t="shared" si="10"/>
        <v>0.99653316601371378</v>
      </c>
      <c r="M89" s="12">
        <f t="shared" si="11"/>
        <v>0.97017328002335257</v>
      </c>
      <c r="N89" s="12">
        <f t="shared" si="12"/>
        <v>6.5127652139327339E-4</v>
      </c>
      <c r="O89" s="12">
        <f t="shared" si="13"/>
        <v>2.8214979110691512E-3</v>
      </c>
    </row>
    <row r="90" spans="1:15" x14ac:dyDescent="0.2">
      <c r="A90" s="12">
        <v>0.8</v>
      </c>
      <c r="B90" s="12">
        <f t="shared" ca="1" si="14"/>
        <v>112.74768580507519</v>
      </c>
      <c r="C90" s="13">
        <f t="shared" ca="1" si="15"/>
        <v>0.93292909629763254</v>
      </c>
      <c r="D90" s="14">
        <f t="shared" ca="1" si="16"/>
        <v>1.8035083221578097E-2</v>
      </c>
      <c r="E90" s="14">
        <f t="shared" ca="1" si="17"/>
        <v>2.0334138965348707</v>
      </c>
      <c r="F90" s="14">
        <f t="shared" ca="1" si="18"/>
        <v>102.07488068699475</v>
      </c>
      <c r="G90" s="14">
        <f t="shared" ca="1" si="19"/>
        <v>5.1050201830400252E-2</v>
      </c>
      <c r="K90" s="12">
        <v>81</v>
      </c>
      <c r="L90" s="12">
        <f t="shared" si="10"/>
        <v>0.99712866945773793</v>
      </c>
      <c r="M90" s="12">
        <f t="shared" si="11"/>
        <v>0.97286998721035067</v>
      </c>
      <c r="N90" s="12">
        <f t="shared" si="12"/>
        <v>5.4287422400655402E-4</v>
      </c>
      <c r="O90" s="12">
        <f t="shared" si="13"/>
        <v>2.5753919840421574E-3</v>
      </c>
    </row>
    <row r="91" spans="1:15" x14ac:dyDescent="0.2">
      <c r="A91" s="12">
        <v>0.81</v>
      </c>
      <c r="B91" s="12">
        <f t="shared" ca="1" si="14"/>
        <v>113.82569570478873</v>
      </c>
      <c r="C91" s="13">
        <f t="shared" ca="1" si="15"/>
        <v>0.94928985771846564</v>
      </c>
      <c r="D91" s="14">
        <f t="shared" ca="1" si="16"/>
        <v>1.6360761420833092E-2</v>
      </c>
      <c r="E91" s="14">
        <f t="shared" ca="1" si="17"/>
        <v>1.8622750509863943</v>
      </c>
      <c r="F91" s="14">
        <f t="shared" ca="1" si="18"/>
        <v>103.98820593981155</v>
      </c>
      <c r="G91" s="14">
        <f t="shared" ca="1" si="19"/>
        <v>5.2007103662331015E-2</v>
      </c>
      <c r="K91" s="12">
        <v>82</v>
      </c>
      <c r="L91" s="12">
        <f t="shared" si="10"/>
        <v>0.99762467720872328</v>
      </c>
      <c r="M91" s="12">
        <f t="shared" si="11"/>
        <v>0.97533078202190537</v>
      </c>
      <c r="N91" s="12">
        <f t="shared" si="12"/>
        <v>4.5181266192973097E-4</v>
      </c>
      <c r="O91" s="12">
        <f t="shared" si="13"/>
        <v>2.3494287497481479E-3</v>
      </c>
    </row>
    <row r="92" spans="1:15" x14ac:dyDescent="0.2">
      <c r="A92" s="12">
        <v>0.82</v>
      </c>
      <c r="B92" s="12">
        <f t="shared" ca="1" si="14"/>
        <v>114.35490275128252</v>
      </c>
      <c r="C92" s="13">
        <f t="shared" ca="1" si="15"/>
        <v>0.95812300197243205</v>
      </c>
      <c r="D92" s="14">
        <f t="shared" ca="1" si="16"/>
        <v>8.8331442539664184E-3</v>
      </c>
      <c r="E92" s="14">
        <f t="shared" ca="1" si="17"/>
        <v>1.0101133521503798</v>
      </c>
      <c r="F92" s="14">
        <f t="shared" ca="1" si="18"/>
        <v>105.05032639562427</v>
      </c>
      <c r="G92" s="14">
        <f t="shared" ca="1" si="19"/>
        <v>5.2538296677424531E-2</v>
      </c>
      <c r="K92" s="12">
        <v>83</v>
      </c>
      <c r="L92" s="12">
        <f t="shared" si="10"/>
        <v>0.99803718875890846</v>
      </c>
      <c r="M92" s="12">
        <f t="shared" si="11"/>
        <v>0.9775750754640824</v>
      </c>
      <c r="N92" s="12">
        <f t="shared" si="12"/>
        <v>3.7547335422474912E-4</v>
      </c>
      <c r="O92" s="12">
        <f t="shared" si="13"/>
        <v>2.1421569627683504E-3</v>
      </c>
    </row>
    <row r="93" spans="1:15" x14ac:dyDescent="0.2">
      <c r="A93" s="12">
        <v>0.83</v>
      </c>
      <c r="B93" s="12">
        <f t="shared" ca="1" si="14"/>
        <v>114.72914687031593</v>
      </c>
      <c r="C93" s="13">
        <f t="shared" ca="1" si="15"/>
        <v>0.96489679830341846</v>
      </c>
      <c r="D93" s="14">
        <f t="shared" ca="1" si="16"/>
        <v>6.7737963309864035E-3</v>
      </c>
      <c r="E93" s="14">
        <f t="shared" ca="1" si="17"/>
        <v>0.77715187412734632</v>
      </c>
      <c r="F93" s="14">
        <f t="shared" ca="1" si="18"/>
        <v>105.88001656642903</v>
      </c>
      <c r="G93" s="14">
        <f t="shared" ca="1" si="19"/>
        <v>5.2953245491385567E-2</v>
      </c>
      <c r="K93" s="12">
        <v>84</v>
      </c>
      <c r="L93" s="12">
        <f t="shared" si="10"/>
        <v>0.99837976918903393</v>
      </c>
      <c r="M93" s="12">
        <f t="shared" si="11"/>
        <v>0.97962086465821663</v>
      </c>
      <c r="N93" s="12">
        <f t="shared" si="12"/>
        <v>3.1159881384391349E-4</v>
      </c>
      <c r="O93" s="12">
        <f t="shared" si="13"/>
        <v>1.9522002864365427E-3</v>
      </c>
    </row>
    <row r="94" spans="1:15" x14ac:dyDescent="0.2">
      <c r="A94" s="12">
        <v>0.84</v>
      </c>
      <c r="B94" s="12">
        <f t="shared" ca="1" si="14"/>
        <v>115.96755014143989</v>
      </c>
      <c r="C94" s="13">
        <f t="shared" ca="1" si="15"/>
        <v>0.97680097745360961</v>
      </c>
      <c r="D94" s="14">
        <f t="shared" ca="1" si="16"/>
        <v>1.1904179150191152E-2</v>
      </c>
      <c r="E94" s="14">
        <f t="shared" ca="1" si="17"/>
        <v>1.3804984924924757</v>
      </c>
      <c r="F94" s="14">
        <f t="shared" ca="1" si="18"/>
        <v>107.31346830441289</v>
      </c>
      <c r="G94" s="14">
        <f t="shared" ca="1" si="19"/>
        <v>5.3670150571711935E-2</v>
      </c>
      <c r="K94" s="12">
        <v>85</v>
      </c>
      <c r="L94" s="12">
        <f t="shared" si="10"/>
        <v>0.99866388890691415</v>
      </c>
      <c r="M94" s="12">
        <f t="shared" si="11"/>
        <v>0.98148480830593499</v>
      </c>
      <c r="N94" s="12">
        <f t="shared" si="12"/>
        <v>2.5825048591273308E-4</v>
      </c>
      <c r="O94" s="12">
        <f t="shared" si="13"/>
        <v>1.7782582355375231E-3</v>
      </c>
    </row>
    <row r="95" spans="1:15" x14ac:dyDescent="0.2">
      <c r="A95" s="12">
        <v>0.85</v>
      </c>
      <c r="B95" s="12">
        <f t="shared" ca="1" si="14"/>
        <v>115.82578111895555</v>
      </c>
      <c r="C95" s="13">
        <f t="shared" ca="1" si="15"/>
        <v>0.97893561826655362</v>
      </c>
      <c r="D95" s="14">
        <f t="shared" ca="1" si="16"/>
        <v>2.1346408129440109E-3</v>
      </c>
      <c r="E95" s="14">
        <f t="shared" ca="1" si="17"/>
        <v>0.24724643956764233</v>
      </c>
      <c r="F95" s="14">
        <f t="shared" ca="1" si="18"/>
        <v>107.61438489455226</v>
      </c>
      <c r="G95" s="14">
        <f t="shared" ca="1" si="19"/>
        <v>5.3820646487625232E-2</v>
      </c>
      <c r="K95" s="12">
        <v>86</v>
      </c>
      <c r="L95" s="12">
        <f t="shared" si="10"/>
        <v>0.99889922284430355</v>
      </c>
      <c r="M95" s="12">
        <f t="shared" si="11"/>
        <v>0.98318230256377881</v>
      </c>
      <c r="N95" s="12">
        <f t="shared" si="12"/>
        <v>2.1376978934971536E-4</v>
      </c>
      <c r="O95" s="12">
        <f t="shared" si="13"/>
        <v>1.6191060849154143E-3</v>
      </c>
    </row>
    <row r="96" spans="1:15" x14ac:dyDescent="0.2">
      <c r="A96" s="12">
        <v>0.86</v>
      </c>
      <c r="B96" s="12">
        <f t="shared" ca="1" si="14"/>
        <v>114.80028376387598</v>
      </c>
      <c r="C96" s="13">
        <f t="shared" ca="1" si="15"/>
        <v>0.97588744831911567</v>
      </c>
      <c r="D96" s="14">
        <f t="shared" ca="1" si="16"/>
        <v>-3.0481699474379509E-3</v>
      </c>
      <c r="E96" s="14">
        <f t="shared" ca="1" si="17"/>
        <v>-0.34993077492639568</v>
      </c>
      <c r="F96" s="14">
        <f t="shared" ca="1" si="18"/>
        <v>107.31827476611349</v>
      </c>
      <c r="G96" s="14">
        <f t="shared" ca="1" si="19"/>
        <v>5.3672554403470088E-2</v>
      </c>
      <c r="K96" s="12">
        <v>87</v>
      </c>
      <c r="L96" s="12">
        <f t="shared" si="10"/>
        <v>0.99909391235287404</v>
      </c>
      <c r="M96" s="12">
        <f t="shared" si="11"/>
        <v>0.9847275563923007</v>
      </c>
      <c r="N96" s="12">
        <f t="shared" si="12"/>
        <v>1.7674250436323569E-4</v>
      </c>
      <c r="O96" s="12">
        <f t="shared" si="13"/>
        <v>1.4735939374233948E-3</v>
      </c>
    </row>
    <row r="97" spans="1:15" x14ac:dyDescent="0.2">
      <c r="A97" s="12">
        <v>0.87</v>
      </c>
      <c r="B97" s="12">
        <f t="shared" ca="1" si="14"/>
        <v>114.30040715355126</v>
      </c>
      <c r="C97" s="13">
        <f t="shared" ca="1" si="15"/>
        <v>0.97613280971616811</v>
      </c>
      <c r="D97" s="14">
        <f t="shared" ca="1" si="16"/>
        <v>2.4536139705244597E-4</v>
      </c>
      <c r="E97" s="14">
        <f t="shared" ca="1" si="17"/>
        <v>2.8044907582858727E-2</v>
      </c>
      <c r="F97" s="14">
        <f t="shared" ca="1" si="18"/>
        <v>107.39999222809982</v>
      </c>
      <c r="G97" s="14">
        <f t="shared" ca="1" si="19"/>
        <v>5.3713423350848652E-2</v>
      </c>
      <c r="K97" s="12">
        <v>88</v>
      </c>
      <c r="L97" s="12">
        <f t="shared" si="10"/>
        <v>0.99925479319379595</v>
      </c>
      <c r="M97" s="12">
        <f t="shared" si="11"/>
        <v>0.98613366562520077</v>
      </c>
      <c r="N97" s="12">
        <f t="shared" si="12"/>
        <v>1.4596657857349251E-4</v>
      </c>
      <c r="O97" s="12">
        <f t="shared" si="13"/>
        <v>1.3406451196656083E-3</v>
      </c>
    </row>
    <row r="98" spans="1:15" x14ac:dyDescent="0.2">
      <c r="A98" s="12">
        <v>0.88</v>
      </c>
      <c r="B98" s="12">
        <f t="shared" ca="1" si="14"/>
        <v>113.52719003527761</v>
      </c>
      <c r="C98" s="13">
        <f t="shared" ca="1" si="15"/>
        <v>0.97455979007011839</v>
      </c>
      <c r="D98" s="14">
        <f t="shared" ca="1" si="16"/>
        <v>-1.5730196460497226E-3</v>
      </c>
      <c r="E98" s="14">
        <f t="shared" ca="1" si="17"/>
        <v>-0.17858050028631198</v>
      </c>
      <c r="F98" s="14">
        <f t="shared" ca="1" si="18"/>
        <v>107.27512515116435</v>
      </c>
      <c r="G98" s="14">
        <f t="shared" ca="1" si="19"/>
        <v>5.3650974201394593E-2</v>
      </c>
      <c r="K98" s="12">
        <v>89</v>
      </c>
      <c r="L98" s="12">
        <f t="shared" si="10"/>
        <v>0.99938759302286184</v>
      </c>
      <c r="M98" s="12">
        <f t="shared" si="11"/>
        <v>0.98741268516087599</v>
      </c>
      <c r="N98" s="12">
        <f t="shared" si="12"/>
        <v>1.2042330048621026E-4</v>
      </c>
      <c r="O98" s="12">
        <f t="shared" si="13"/>
        <v>1.219254051174077E-3</v>
      </c>
    </row>
    <row r="99" spans="1:15" x14ac:dyDescent="0.2">
      <c r="A99" s="12">
        <v>0.89</v>
      </c>
      <c r="B99" s="12">
        <f t="shared" ca="1" si="14"/>
        <v>111.2813697426496</v>
      </c>
      <c r="C99" s="13">
        <f t="shared" ca="1" si="15"/>
        <v>0.95796417429119463</v>
      </c>
      <c r="D99" s="14">
        <f t="shared" ca="1" si="16"/>
        <v>-1.6595615778923767E-2</v>
      </c>
      <c r="E99" s="14">
        <f t="shared" ca="1" si="17"/>
        <v>-1.8467828556013657</v>
      </c>
      <c r="F99" s="14">
        <f t="shared" ca="1" si="18"/>
        <v>105.48199326976437</v>
      </c>
      <c r="G99" s="14">
        <f t="shared" ca="1" si="19"/>
        <v>5.2754184081847996E-2</v>
      </c>
      <c r="K99" s="12">
        <v>90</v>
      </c>
      <c r="L99" s="12">
        <f t="shared" si="10"/>
        <v>0.99949710167566075</v>
      </c>
      <c r="M99" s="12">
        <f t="shared" si="11"/>
        <v>0.98857569881386931</v>
      </c>
      <c r="N99" s="12">
        <f t="shared" si="12"/>
        <v>9.9251702081335278E-5</v>
      </c>
      <c r="O99" s="12">
        <f t="shared" si="13"/>
        <v>1.1084837120231461E-3</v>
      </c>
    </row>
    <row r="100" spans="1:15" x14ac:dyDescent="0.2">
      <c r="A100" s="12">
        <v>0.9</v>
      </c>
      <c r="B100" s="12">
        <f t="shared" ca="1" si="14"/>
        <v>111.7362473727478</v>
      </c>
      <c r="C100" s="13">
        <f t="shared" ca="1" si="15"/>
        <v>0.9689293213382052</v>
      </c>
      <c r="D100" s="14">
        <f t="shared" ca="1" si="16"/>
        <v>1.0965147047010571E-2</v>
      </c>
      <c r="E100" s="14">
        <f t="shared" ca="1" si="17"/>
        <v>1.2252043829233281</v>
      </c>
      <c r="F100" s="14">
        <f t="shared" ca="1" si="18"/>
        <v>106.75995183676955</v>
      </c>
      <c r="G100" s="14">
        <f t="shared" ca="1" si="19"/>
        <v>5.3393323136798815E-2</v>
      </c>
      <c r="K100" s="12">
        <v>91</v>
      </c>
      <c r="L100" s="12">
        <f t="shared" si="10"/>
        <v>0.99958731738817463</v>
      </c>
      <c r="M100" s="12">
        <f t="shared" si="11"/>
        <v>0.98963288647924608</v>
      </c>
      <c r="N100" s="12">
        <f t="shared" si="12"/>
        <v>8.1725994741375216E-5</v>
      </c>
      <c r="O100" s="12">
        <f t="shared" si="13"/>
        <v>1.0074628153547386E-3</v>
      </c>
    </row>
    <row r="101" spans="1:15" x14ac:dyDescent="0.2">
      <c r="A101" s="12">
        <v>0.91</v>
      </c>
      <c r="B101" s="12">
        <f t="shared" ca="1" si="14"/>
        <v>110.92625527838243</v>
      </c>
      <c r="C101" s="13">
        <f t="shared" ca="1" si="15"/>
        <v>0.96661788801800919</v>
      </c>
      <c r="D101" s="14">
        <f t="shared" ca="1" si="16"/>
        <v>-2.3114333201960102E-3</v>
      </c>
      <c r="E101" s="14">
        <f t="shared" ca="1" si="17"/>
        <v>-0.2563986425350217</v>
      </c>
      <c r="F101" s="14">
        <f t="shared" ca="1" si="18"/>
        <v>106.55694651737133</v>
      </c>
      <c r="G101" s="14">
        <f t="shared" ca="1" si="19"/>
        <v>5.3291795097204997E-2</v>
      </c>
      <c r="K101" s="12">
        <v>92</v>
      </c>
      <c r="L101" s="12">
        <f t="shared" si="10"/>
        <v>0.99966157187339277</v>
      </c>
      <c r="M101" s="12">
        <f t="shared" si="11"/>
        <v>0.99059358836096345</v>
      </c>
      <c r="N101" s="12">
        <f t="shared" si="12"/>
        <v>6.7235808094548378E-5</v>
      </c>
      <c r="O101" s="12">
        <f t="shared" si="13"/>
        <v>9.1538277477595017E-4</v>
      </c>
    </row>
    <row r="102" spans="1:15" x14ac:dyDescent="0.2">
      <c r="A102" s="12">
        <v>0.92</v>
      </c>
      <c r="B102" s="12">
        <f t="shared" ca="1" si="14"/>
        <v>110.6335419173889</v>
      </c>
      <c r="C102" s="13">
        <f t="shared" ca="1" si="15"/>
        <v>0.97031070675043773</v>
      </c>
      <c r="D102" s="14">
        <f t="shared" ca="1" si="16"/>
        <v>3.6928187324285489E-3</v>
      </c>
      <c r="E102" s="14">
        <f t="shared" ca="1" si="17"/>
        <v>0.40854961602745277</v>
      </c>
      <c r="F102" s="14">
        <f t="shared" ca="1" si="18"/>
        <v>107.018787928496</v>
      </c>
      <c r="G102" s="14">
        <f t="shared" ca="1" si="19"/>
        <v>5.3522773542566578E-2</v>
      </c>
      <c r="K102" s="12">
        <v>93</v>
      </c>
      <c r="L102" s="12">
        <f t="shared" si="10"/>
        <v>0.99972263693422225</v>
      </c>
      <c r="M102" s="12">
        <f t="shared" si="11"/>
        <v>0.99146636609780436</v>
      </c>
      <c r="N102" s="12">
        <f t="shared" si="12"/>
        <v>5.5268984104730974E-5</v>
      </c>
      <c r="O102" s="12">
        <f t="shared" si="13"/>
        <v>8.314945419784825E-4</v>
      </c>
    </row>
    <row r="103" spans="1:15" x14ac:dyDescent="0.2">
      <c r="A103" s="12">
        <v>0.93</v>
      </c>
      <c r="B103" s="12">
        <f t="shared" ca="1" si="14"/>
        <v>105.36717348293317</v>
      </c>
      <c r="C103" s="13">
        <f t="shared" ca="1" si="15"/>
        <v>0.86006653230360663</v>
      </c>
      <c r="D103" s="14">
        <f t="shared" ca="1" si="16"/>
        <v>-0.1102441744468311</v>
      </c>
      <c r="E103" s="14">
        <f t="shared" ca="1" si="17"/>
        <v>-11.616117054422</v>
      </c>
      <c r="F103" s="14">
        <f t="shared" ca="1" si="18"/>
        <v>95.456193647616558</v>
      </c>
      <c r="G103" s="14">
        <f t="shared" ca="1" si="19"/>
        <v>4.7740030836925254E-2</v>
      </c>
      <c r="K103" s="12">
        <v>94</v>
      </c>
      <c r="L103" s="12">
        <f t="shared" si="10"/>
        <v>0.99977281504217319</v>
      </c>
      <c r="M103" s="12">
        <f t="shared" si="11"/>
        <v>0.99225906068922631</v>
      </c>
      <c r="N103" s="12">
        <f t="shared" si="12"/>
        <v>4.5396674388790963E-5</v>
      </c>
      <c r="O103" s="12">
        <f t="shared" si="13"/>
        <v>7.5510537708336242E-4</v>
      </c>
    </row>
    <row r="104" spans="1:15" x14ac:dyDescent="0.2">
      <c r="A104" s="12">
        <v>0.94</v>
      </c>
      <c r="B104" s="12">
        <f t="shared" ca="1" si="14"/>
        <v>105.54639716416717</v>
      </c>
      <c r="C104" s="13">
        <f t="shared" ca="1" si="15"/>
        <v>0.88250511806925225</v>
      </c>
      <c r="D104" s="14">
        <f t="shared" ca="1" si="16"/>
        <v>2.2438585765645613E-2</v>
      </c>
      <c r="E104" s="14">
        <f t="shared" ca="1" si="17"/>
        <v>2.36831188502306</v>
      </c>
      <c r="F104" s="14">
        <f t="shared" ca="1" si="18"/>
        <v>97.87224556347654</v>
      </c>
      <c r="G104" s="14">
        <f t="shared" ca="1" si="19"/>
        <v>4.8948358851685227E-2</v>
      </c>
      <c r="K104" s="12">
        <v>95</v>
      </c>
      <c r="L104" s="12">
        <f t="shared" si="10"/>
        <v>0.99981401606103859</v>
      </c>
      <c r="M104" s="12">
        <f t="shared" si="11"/>
        <v>0.99297884718024987</v>
      </c>
      <c r="N104" s="12">
        <f t="shared" si="12"/>
        <v>3.7260493631743695E-5</v>
      </c>
      <c r="O104" s="12">
        <f t="shared" si="13"/>
        <v>6.8557560299293771E-4</v>
      </c>
    </row>
    <row r="105" spans="1:15" x14ac:dyDescent="0.2">
      <c r="A105" s="12">
        <v>0.95</v>
      </c>
      <c r="B105" s="12">
        <f t="shared" ca="1" si="14"/>
        <v>109.34237910911314</v>
      </c>
      <c r="C105" s="13">
        <f t="shared" ca="1" si="15"/>
        <v>0.98102445300725238</v>
      </c>
      <c r="D105" s="14">
        <f t="shared" ca="1" si="16"/>
        <v>9.8519334938000136E-2</v>
      </c>
      <c r="E105" s="14">
        <f t="shared" ca="1" si="17"/>
        <v>10.772338470368506</v>
      </c>
      <c r="F105" s="14">
        <f t="shared" ca="1" si="18"/>
        <v>108.69353239269674</v>
      </c>
      <c r="G105" s="14">
        <f t="shared" ca="1" si="19"/>
        <v>5.4360355152619701E-2</v>
      </c>
      <c r="K105" s="12">
        <v>96</v>
      </c>
      <c r="L105" s="12">
        <f t="shared" si="10"/>
        <v>0.99984782205280087</v>
      </c>
      <c r="M105" s="12">
        <f t="shared" si="11"/>
        <v>0.99363228611081345</v>
      </c>
      <c r="N105" s="12">
        <f t="shared" si="12"/>
        <v>3.0561493201614919E-5</v>
      </c>
      <c r="O105" s="12">
        <f t="shared" si="13"/>
        <v>6.2231538529106969E-4</v>
      </c>
    </row>
    <row r="106" spans="1:15" x14ac:dyDescent="0.2">
      <c r="A106" s="12">
        <v>0.96</v>
      </c>
      <c r="B106" s="12">
        <f t="shared" ca="1" si="14"/>
        <v>111.66678246169872</v>
      </c>
      <c r="C106" s="13">
        <f t="shared" ca="1" si="15"/>
        <v>0.99766326265389094</v>
      </c>
      <c r="D106" s="14">
        <f t="shared" ca="1" si="16"/>
        <v>1.6638809646638553E-2</v>
      </c>
      <c r="E106" s="14">
        <f t="shared" ca="1" si="17"/>
        <v>1.8580023372328014</v>
      </c>
      <c r="F106" s="14">
        <f t="shared" ca="1" si="18"/>
        <v>110.60589508508217</v>
      </c>
      <c r="G106" s="14">
        <f t="shared" ca="1" si="19"/>
        <v>5.5316775583994664E-2</v>
      </c>
      <c r="K106" s="12">
        <v>97</v>
      </c>
      <c r="L106" s="12">
        <f t="shared" si="10"/>
        <v>0.99987554187444805</v>
      </c>
      <c r="M106" s="12">
        <f t="shared" si="11"/>
        <v>0.99422537177226222</v>
      </c>
      <c r="N106" s="12">
        <f t="shared" si="12"/>
        <v>2.5050734378438007E-5</v>
      </c>
      <c r="O106" s="12">
        <f t="shared" si="13"/>
        <v>5.6478157082940619E-4</v>
      </c>
    </row>
    <row r="107" spans="1:15" x14ac:dyDescent="0.2">
      <c r="A107" s="12">
        <v>0.97</v>
      </c>
      <c r="B107" s="12">
        <f t="shared" ca="1" si="14"/>
        <v>111.20178052520515</v>
      </c>
      <c r="C107" s="13">
        <f t="shared" ca="1" si="15"/>
        <v>0.99911291479753139</v>
      </c>
      <c r="D107" s="14">
        <f t="shared" ca="1" si="16"/>
        <v>1.4496521436404564E-3</v>
      </c>
      <c r="E107" s="14">
        <f t="shared" ca="1" si="17"/>
        <v>0.16120389951499919</v>
      </c>
      <c r="F107" s="14">
        <f t="shared" ca="1" si="18"/>
        <v>110.82241576018116</v>
      </c>
      <c r="G107" s="14">
        <f t="shared" ca="1" si="19"/>
        <v>5.5425062991139938E-2</v>
      </c>
      <c r="K107" s="12">
        <v>98</v>
      </c>
      <c r="L107" s="12">
        <f t="shared" si="10"/>
        <v>0.9998982570624535</v>
      </c>
      <c r="M107" s="12">
        <f t="shared" si="11"/>
        <v>0.99476357734309606</v>
      </c>
      <c r="N107" s="12">
        <f t="shared" si="12"/>
        <v>2.0521258278423746E-5</v>
      </c>
      <c r="O107" s="12">
        <f t="shared" si="13"/>
        <v>5.1247461093496436E-4</v>
      </c>
    </row>
    <row r="108" spans="1:15" x14ac:dyDescent="0.2">
      <c r="A108" s="12">
        <v>0.98</v>
      </c>
      <c r="B108" s="12">
        <f t="shared" ca="1" si="14"/>
        <v>115.22062815318276</v>
      </c>
      <c r="C108" s="13">
        <f t="shared" ca="1" si="15"/>
        <v>0.99999978846567483</v>
      </c>
      <c r="D108" s="14">
        <f t="shared" ca="1" si="16"/>
        <v>8.8687366814343971E-4</v>
      </c>
      <c r="E108" s="14">
        <f t="shared" ca="1" si="17"/>
        <v>0.10218614113600447</v>
      </c>
      <c r="F108" s="14">
        <f t="shared" ca="1" si="18"/>
        <v>110.98002696430829</v>
      </c>
      <c r="G108" s="14">
        <f t="shared" ca="1" si="19"/>
        <v>5.5503888297887986E-2</v>
      </c>
      <c r="K108" s="12">
        <v>99</v>
      </c>
      <c r="L108" s="12">
        <f t="shared" si="10"/>
        <v>0.99991686030803806</v>
      </c>
      <c r="M108" s="12">
        <f t="shared" si="11"/>
        <v>0.99525189699889527</v>
      </c>
      <c r="N108" s="12">
        <f t="shared" si="12"/>
        <v>1.6801268285649573E-5</v>
      </c>
      <c r="O108" s="12">
        <f t="shared" si="13"/>
        <v>4.6493558904106287E-4</v>
      </c>
    </row>
    <row r="109" spans="1:15" x14ac:dyDescent="0.2">
      <c r="A109" s="12">
        <v>0.99</v>
      </c>
      <c r="B109" s="12">
        <f t="shared" ca="1" si="14"/>
        <v>114.26941346020483</v>
      </c>
      <c r="C109" s="13">
        <f t="shared" ca="1" si="15"/>
        <v>0.9999999999898348</v>
      </c>
      <c r="D109" s="14">
        <f t="shared" ca="1" si="16"/>
        <v>2.1152415996539276E-7</v>
      </c>
      <c r="E109" s="14">
        <f t="shared" ca="1" si="17"/>
        <v>2.4170741691907971E-5</v>
      </c>
      <c r="F109" s="14">
        <f t="shared" ca="1" si="18"/>
        <v>111.03555502334788</v>
      </c>
      <c r="G109" s="14">
        <f t="shared" ca="1" si="19"/>
        <v>5.5531659269572139E-2</v>
      </c>
      <c r="K109" s="12">
        <v>100</v>
      </c>
      <c r="L109" s="12">
        <f t="shared" si="10"/>
        <v>0.99993208765156827</v>
      </c>
      <c r="M109" s="12">
        <f t="shared" si="11"/>
        <v>0.99569488510848791</v>
      </c>
      <c r="N109" s="12">
        <f t="shared" si="12"/>
        <v>1.3748359663241073E-5</v>
      </c>
      <c r="O109" s="12">
        <f t="shared" si="13"/>
        <v>4.2174336735740939E-4</v>
      </c>
    </row>
    <row r="110" spans="1:15" x14ac:dyDescent="0.2">
      <c r="A110" s="12">
        <v>1</v>
      </c>
      <c r="B110" s="12">
        <f t="shared" ca="1" si="14"/>
        <v>117.23556561947626</v>
      </c>
      <c r="C110" s="13">
        <f ca="1">IF(B110&gt;B2,1,0)</f>
        <v>1</v>
      </c>
      <c r="D110" s="14">
        <f ca="1">(C110-C109)*$B$6</f>
        <v>1.0165202013467933E-11</v>
      </c>
      <c r="E110" s="14">
        <f ca="1">D110*B110</f>
        <v>1.1917232076851521E-9</v>
      </c>
      <c r="F110" s="14">
        <f ca="1">F109+G109+E110</f>
        <v>111.09108668380918</v>
      </c>
      <c r="G110" s="14">
        <f ca="1">F110*(EXP($B$3*$A$11)-1)</f>
        <v>5.5559432042417395E-2</v>
      </c>
    </row>
  </sheetData>
  <phoneticPr fontId="2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11"/>
  <sheetViews>
    <sheetView tabSelected="1" workbookViewId="0">
      <selection activeCell="F13" sqref="F13"/>
    </sheetView>
  </sheetViews>
  <sheetFormatPr defaultRowHeight="12.75" x14ac:dyDescent="0.2"/>
  <cols>
    <col min="1" max="1" width="12.85546875" style="12" bestFit="1" customWidth="1"/>
    <col min="2" max="2" width="12" style="12" bestFit="1" customWidth="1"/>
    <col min="3" max="3" width="9.28515625" style="12" customWidth="1"/>
    <col min="4" max="4" width="11.42578125" style="12" customWidth="1"/>
    <col min="5" max="5" width="10.5703125" style="12" customWidth="1"/>
    <col min="6" max="6" width="9.7109375" style="12" customWidth="1"/>
    <col min="7" max="7" width="11" style="12" customWidth="1"/>
    <col min="8" max="9" width="9.140625" style="12"/>
    <col min="10" max="10" width="12.42578125" style="12" customWidth="1"/>
    <col min="11" max="16384" width="9.140625" style="12"/>
  </cols>
  <sheetData>
    <row r="1" spans="1:11" x14ac:dyDescent="0.2">
      <c r="A1" s="21" t="s">
        <v>36</v>
      </c>
      <c r="B1" s="31">
        <v>100</v>
      </c>
      <c r="D1" s="21" t="s">
        <v>41</v>
      </c>
      <c r="E1" s="32">
        <v>0.3</v>
      </c>
      <c r="G1" s="16" t="s">
        <v>49</v>
      </c>
      <c r="H1" s="29">
        <f>CallOption(B1,Va,0,int,E,T)</f>
        <v>14.231245013939834</v>
      </c>
      <c r="I1" s="27" t="s">
        <v>65</v>
      </c>
      <c r="K1" s="33" t="s">
        <v>67</v>
      </c>
    </row>
    <row r="2" spans="1:11" x14ac:dyDescent="0.2">
      <c r="A2" s="21" t="s">
        <v>37</v>
      </c>
      <c r="B2" s="32">
        <v>0.05</v>
      </c>
      <c r="D2" s="21" t="s">
        <v>42</v>
      </c>
      <c r="E2" s="32">
        <v>0.2</v>
      </c>
      <c r="G2" s="16" t="s">
        <v>50</v>
      </c>
      <c r="H2" s="29">
        <f>CallOption(B1,Vi,0,int,E,T)</f>
        <v>10.450575666859251</v>
      </c>
      <c r="I2" s="27" t="s">
        <v>66</v>
      </c>
    </row>
    <row r="3" spans="1:11" x14ac:dyDescent="0.2">
      <c r="A3" s="21" t="s">
        <v>38</v>
      </c>
      <c r="B3" s="31">
        <v>100</v>
      </c>
      <c r="G3" s="16" t="s">
        <v>46</v>
      </c>
      <c r="H3" s="19">
        <f>H1-H2</f>
        <v>3.7806693470805826</v>
      </c>
      <c r="I3" s="27" t="s">
        <v>51</v>
      </c>
      <c r="K3" s="30" t="s">
        <v>71</v>
      </c>
    </row>
    <row r="4" spans="1:11" x14ac:dyDescent="0.2">
      <c r="A4" s="21" t="s">
        <v>39</v>
      </c>
      <c r="B4" s="31">
        <v>1</v>
      </c>
    </row>
    <row r="5" spans="1:11" x14ac:dyDescent="0.2">
      <c r="G5" s="17" t="s">
        <v>47</v>
      </c>
      <c r="H5" s="19">
        <f ca="1">EXP(-int*T)*G111</f>
        <v>3.0884509619189067</v>
      </c>
    </row>
    <row r="6" spans="1:11" x14ac:dyDescent="0.2">
      <c r="A6" s="17" t="s">
        <v>40</v>
      </c>
      <c r="B6" s="18">
        <v>0.01</v>
      </c>
      <c r="D6" s="17" t="s">
        <v>43</v>
      </c>
      <c r="E6" s="28">
        <v>0.3</v>
      </c>
    </row>
    <row r="7" spans="1:11" x14ac:dyDescent="0.2">
      <c r="D7" s="35" t="s">
        <v>70</v>
      </c>
    </row>
    <row r="8" spans="1:11" x14ac:dyDescent="0.2">
      <c r="D8" s="20"/>
    </row>
    <row r="9" spans="1:11" x14ac:dyDescent="0.2">
      <c r="B9" s="12" t="s">
        <v>32</v>
      </c>
      <c r="C9" s="12" t="s">
        <v>60</v>
      </c>
      <c r="D9" s="12" t="s">
        <v>61</v>
      </c>
      <c r="E9" s="12" t="s">
        <v>62</v>
      </c>
      <c r="G9" s="12" t="s">
        <v>68</v>
      </c>
      <c r="J9" s="12" t="s">
        <v>59</v>
      </c>
    </row>
    <row r="10" spans="1:11" ht="38.25" x14ac:dyDescent="0.2">
      <c r="A10" s="22" t="s">
        <v>44</v>
      </c>
      <c r="B10" s="23" t="s">
        <v>56</v>
      </c>
      <c r="C10" s="24" t="s">
        <v>57</v>
      </c>
      <c r="D10" s="23" t="s">
        <v>69</v>
      </c>
      <c r="E10" s="23" t="s">
        <v>63</v>
      </c>
      <c r="F10" s="23" t="s">
        <v>64</v>
      </c>
      <c r="G10" s="23" t="s">
        <v>45</v>
      </c>
      <c r="J10" s="23" t="s">
        <v>58</v>
      </c>
    </row>
    <row r="11" spans="1:11" x14ac:dyDescent="0.2">
      <c r="A11" s="12">
        <v>0</v>
      </c>
      <c r="B11" s="12">
        <v>100</v>
      </c>
      <c r="C11" s="12">
        <f t="shared" ref="C11:C42" si="0">CallOption(B11,Vi,0,int,E,T-A11)</f>
        <v>10.450575666859251</v>
      </c>
      <c r="D11" s="12">
        <f>CallDelta(B11,$E$6,0,int,E,T-A11)</f>
        <v>0.62425166000152932</v>
      </c>
      <c r="E11" s="12">
        <f>V_0-D_0*S_0</f>
        <v>-51.974590333293683</v>
      </c>
      <c r="F11" s="12">
        <f>-E11</f>
        <v>51.974590333293683</v>
      </c>
      <c r="G11" s="12">
        <f t="shared" ref="G11:G42" si="1">F11+E11</f>
        <v>0</v>
      </c>
      <c r="J11" s="12">
        <v>0</v>
      </c>
    </row>
    <row r="12" spans="1:11" x14ac:dyDescent="0.2">
      <c r="A12" s="12">
        <v>0.01</v>
      </c>
      <c r="B12" s="12">
        <f t="shared" ref="B12:B43" ca="1" si="2">B11*EXP((int-0.5*Va^2)*dt+Va*SQRT(dt)*NORMSINV(RAND()))</f>
        <v>97.46294504030908</v>
      </c>
      <c r="C12" s="12">
        <f t="shared" ca="1" si="0"/>
        <v>8.8344102394106017</v>
      </c>
      <c r="D12" s="12">
        <f t="shared" ref="D12:D42" ca="1" si="3">CallDelta(B12,$E$6,0,int,E,T-A12)</f>
        <v>0.59056085238725797</v>
      </c>
      <c r="E12" s="12">
        <f t="shared" ref="E12:E75" ca="1" si="4">C12-D12*B12</f>
        <v>-48.723389659766802</v>
      </c>
      <c r="F12" s="12">
        <f t="shared" ref="F12:F43" ca="1" si="5">J12+F11*EXP(int*dt)</f>
        <v>48.716978795493702</v>
      </c>
      <c r="G12" s="12">
        <f t="shared" ca="1" si="1"/>
        <v>-6.4108642731000032E-3</v>
      </c>
      <c r="J12" s="12">
        <f t="shared" ref="J12:J43" ca="1" si="6">(D12-D11)*B12</f>
        <v>-3.2836053308733546</v>
      </c>
      <c r="K12" s="30" t="s">
        <v>72</v>
      </c>
    </row>
    <row r="13" spans="1:11" x14ac:dyDescent="0.2">
      <c r="A13" s="12">
        <v>0.02</v>
      </c>
      <c r="B13" s="12">
        <f t="shared" ca="1" si="2"/>
        <v>98.743597091732582</v>
      </c>
      <c r="C13" s="12">
        <f t="shared" ca="1" si="0"/>
        <v>9.5385569165063515</v>
      </c>
      <c r="D13" s="12">
        <f t="shared" ca="1" si="3"/>
        <v>0.60677008412243871</v>
      </c>
      <c r="E13" s="12">
        <f t="shared" ca="1" si="4"/>
        <v>-50.376103797396425</v>
      </c>
      <c r="F13" s="12">
        <f t="shared" ca="1" si="5"/>
        <v>50.341901223154068</v>
      </c>
      <c r="G13" s="12">
        <f t="shared" ca="1" si="1"/>
        <v>-3.4202574242357286E-2</v>
      </c>
      <c r="J13" s="12">
        <f t="shared" ca="1" si="6"/>
        <v>1.6005578476252125</v>
      </c>
    </row>
    <row r="14" spans="1:11" x14ac:dyDescent="0.2">
      <c r="A14" s="12">
        <v>0.03</v>
      </c>
      <c r="B14" s="12">
        <f t="shared" ca="1" si="2"/>
        <v>103.25416291930267</v>
      </c>
      <c r="C14" s="12">
        <f t="shared" ca="1" si="0"/>
        <v>12.421009792593487</v>
      </c>
      <c r="D14" s="12">
        <f t="shared" ca="1" si="3"/>
        <v>0.66285335302855464</v>
      </c>
      <c r="E14" s="12">
        <f t="shared" ca="1" si="4"/>
        <v>-56.021358312622944</v>
      </c>
      <c r="F14" s="12">
        <f t="shared" ca="1" si="5"/>
        <v>56.157909452231365</v>
      </c>
      <c r="G14" s="12">
        <f t="shared" ca="1" si="1"/>
        <v>0.13655113960842158</v>
      </c>
      <c r="J14" s="12">
        <f t="shared" ca="1" si="6"/>
        <v>5.7908309846791557</v>
      </c>
    </row>
    <row r="15" spans="1:11" x14ac:dyDescent="0.2">
      <c r="A15" s="12">
        <v>0.04</v>
      </c>
      <c r="B15" s="12">
        <f t="shared" ca="1" si="2"/>
        <v>104.82429452835733</v>
      </c>
      <c r="C15" s="12">
        <f t="shared" ca="1" si="0"/>
        <v>13.464683195192933</v>
      </c>
      <c r="D15" s="12">
        <f t="shared" ca="1" si="3"/>
        <v>0.68102195194085169</v>
      </c>
      <c r="E15" s="12">
        <f t="shared" ca="1" si="4"/>
        <v>-57.922962475331715</v>
      </c>
      <c r="F15" s="12">
        <f t="shared" ca="1" si="5"/>
        <v>58.090505991416478</v>
      </c>
      <c r="G15" s="12">
        <f t="shared" ca="1" si="1"/>
        <v>0.1675435160847627</v>
      </c>
      <c r="J15" s="12">
        <f t="shared" ca="1" si="6"/>
        <v>1.9045105635502186</v>
      </c>
    </row>
    <row r="16" spans="1:11" x14ac:dyDescent="0.2">
      <c r="A16" s="12">
        <v>0.05</v>
      </c>
      <c r="B16" s="12">
        <f t="shared" ca="1" si="2"/>
        <v>104.3364482517707</v>
      </c>
      <c r="C16" s="12">
        <f t="shared" ca="1" si="0"/>
        <v>13.048278541653453</v>
      </c>
      <c r="D16" s="12">
        <f t="shared" ca="1" si="3"/>
        <v>0.67502308012996426</v>
      </c>
      <c r="E16" s="12">
        <f t="shared" ca="1" si="4"/>
        <v>-57.381232127077432</v>
      </c>
      <c r="F16" s="12">
        <f t="shared" ca="1" si="5"/>
        <v>57.493657528670141</v>
      </c>
      <c r="G16" s="12">
        <f t="shared" ca="1" si="1"/>
        <v>0.11242540159270931</v>
      </c>
      <c r="J16" s="12">
        <f t="shared" ca="1" si="6"/>
        <v>-0.62590097826566227</v>
      </c>
    </row>
    <row r="17" spans="1:10" x14ac:dyDescent="0.2">
      <c r="A17" s="12">
        <v>0.06</v>
      </c>
      <c r="B17" s="12">
        <f t="shared" ca="1" si="2"/>
        <v>104.14890797350161</v>
      </c>
      <c r="C17" s="12">
        <f t="shared" ca="1" si="0"/>
        <v>12.847851243521596</v>
      </c>
      <c r="D17" s="12">
        <f t="shared" ca="1" si="3"/>
        <v>0.67248390243138656</v>
      </c>
      <c r="E17" s="12">
        <f t="shared" ca="1" si="4"/>
        <v>-57.190612824466122</v>
      </c>
      <c r="F17" s="12">
        <f t="shared" ca="1" si="5"/>
        <v>57.257958960882057</v>
      </c>
      <c r="G17" s="12">
        <f t="shared" ca="1" si="1"/>
        <v>6.7346136415935121E-2</v>
      </c>
      <c r="J17" s="12">
        <f t="shared" ca="1" si="6"/>
        <v>-0.26445258445753639</v>
      </c>
    </row>
    <row r="18" spans="1:10" x14ac:dyDescent="0.2">
      <c r="A18" s="12">
        <v>7.0000000000000007E-2</v>
      </c>
      <c r="B18" s="12">
        <f t="shared" ca="1" si="2"/>
        <v>103.99930544117476</v>
      </c>
      <c r="C18" s="12">
        <f t="shared" ca="1" si="0"/>
        <v>12.674638988218973</v>
      </c>
      <c r="D18" s="12">
        <f t="shared" ca="1" si="3"/>
        <v>0.67036661682064114</v>
      </c>
      <c r="E18" s="12">
        <f t="shared" ca="1" si="4"/>
        <v>-57.043023552077841</v>
      </c>
      <c r="F18" s="12">
        <f t="shared" ca="1" si="5"/>
        <v>57.066398865862269</v>
      </c>
      <c r="G18" s="12">
        <f t="shared" ca="1" si="1"/>
        <v>2.3375313784427476E-2</v>
      </c>
      <c r="J18" s="12">
        <f t="shared" ca="1" si="6"/>
        <v>-0.22019623293811749</v>
      </c>
    </row>
    <row r="19" spans="1:10" x14ac:dyDescent="0.2">
      <c r="A19" s="12">
        <v>0.08</v>
      </c>
      <c r="B19" s="12">
        <f t="shared" ca="1" si="2"/>
        <v>104.28716632092228</v>
      </c>
      <c r="C19" s="12">
        <f t="shared" ca="1" si="0"/>
        <v>12.810777209929881</v>
      </c>
      <c r="D19" s="12">
        <f t="shared" ca="1" si="3"/>
        <v>0.67350776490771957</v>
      </c>
      <c r="E19" s="12">
        <f t="shared" ca="1" si="4"/>
        <v>-57.427439087434095</v>
      </c>
      <c r="F19" s="12">
        <f t="shared" ca="1" si="5"/>
        <v>57.422520632779879</v>
      </c>
      <c r="G19" s="12">
        <f t="shared" ca="1" si="1"/>
        <v>-4.9184546542164753E-3</v>
      </c>
      <c r="J19" s="12">
        <f t="shared" ca="1" si="6"/>
        <v>0.32758143299579595</v>
      </c>
    </row>
    <row r="20" spans="1:10" x14ac:dyDescent="0.2">
      <c r="A20" s="12">
        <v>0.09</v>
      </c>
      <c r="B20" s="12">
        <f t="shared" ca="1" si="2"/>
        <v>106.6320049980752</v>
      </c>
      <c r="C20" s="12">
        <f t="shared" ca="1" si="0"/>
        <v>14.453963061616335</v>
      </c>
      <c r="D20" s="12">
        <f t="shared" ca="1" si="3"/>
        <v>0.70071602174244785</v>
      </c>
      <c r="E20" s="12">
        <f t="shared" ca="1" si="4"/>
        <v>-60.264791271055742</v>
      </c>
      <c r="F20" s="12">
        <f t="shared" ca="1" si="5"/>
        <v>60.352510050897457</v>
      </c>
      <c r="G20" s="12">
        <f t="shared" ca="1" si="1"/>
        <v>8.7718779841715389E-2</v>
      </c>
      <c r="J20" s="12">
        <f t="shared" ca="1" si="6"/>
        <v>2.9012709787896589</v>
      </c>
    </row>
    <row r="21" spans="1:10" x14ac:dyDescent="0.2">
      <c r="A21" s="12">
        <v>0.1</v>
      </c>
      <c r="B21" s="12">
        <f t="shared" ca="1" si="2"/>
        <v>104.30053970198846</v>
      </c>
      <c r="C21" s="12">
        <f t="shared" ca="1" si="0"/>
        <v>12.684130856785494</v>
      </c>
      <c r="D21" s="12">
        <f t="shared" ca="1" si="3"/>
        <v>0.6730543604011695</v>
      </c>
      <c r="E21" s="12">
        <f t="shared" ca="1" si="4"/>
        <v>-57.515802181833131</v>
      </c>
      <c r="F21" s="12">
        <f t="shared" ca="1" si="5"/>
        <v>57.497567644295195</v>
      </c>
      <c r="G21" s="12">
        <f t="shared" ca="1" si="1"/>
        <v>-1.823453753793558E-2</v>
      </c>
      <c r="J21" s="12">
        <f t="shared" ca="1" si="6"/>
        <v>-2.8851262069489612</v>
      </c>
    </row>
    <row r="22" spans="1:10" x14ac:dyDescent="0.2">
      <c r="A22" s="12">
        <v>0.11</v>
      </c>
      <c r="B22" s="12">
        <f t="shared" ca="1" si="2"/>
        <v>96.442511931548339</v>
      </c>
      <c r="C22" s="12">
        <f t="shared" ca="1" si="0"/>
        <v>7.6232279426314022</v>
      </c>
      <c r="D22" s="12">
        <f t="shared" ca="1" si="3"/>
        <v>0.5677916939707609</v>
      </c>
      <c r="E22" s="12">
        <f t="shared" ca="1" si="4"/>
        <v>-47.136029277777752</v>
      </c>
      <c r="F22" s="12">
        <f t="shared" ca="1" si="5"/>
        <v>47.374527653350029</v>
      </c>
      <c r="G22" s="12">
        <f t="shared" ca="1" si="1"/>
        <v>0.23849837557227715</v>
      </c>
      <c r="J22" s="12">
        <f t="shared" ca="1" si="6"/>
        <v>-10.151795963161275</v>
      </c>
    </row>
    <row r="23" spans="1:10" x14ac:dyDescent="0.2">
      <c r="A23" s="12">
        <v>0.12</v>
      </c>
      <c r="B23" s="12">
        <f t="shared" ca="1" si="2"/>
        <v>100.30939748094391</v>
      </c>
      <c r="C23" s="12">
        <f t="shared" ca="1" si="0"/>
        <v>9.8603261118985017</v>
      </c>
      <c r="D23" s="12">
        <f t="shared" ca="1" si="3"/>
        <v>0.62097271093317885</v>
      </c>
      <c r="E23" s="12">
        <f t="shared" ca="1" si="4"/>
        <v>-52.429072373917023</v>
      </c>
      <c r="F23" s="12">
        <f t="shared" ca="1" si="5"/>
        <v>52.732776608903755</v>
      </c>
      <c r="G23" s="12">
        <f t="shared" ca="1" si="1"/>
        <v>0.30370423498673205</v>
      </c>
      <c r="J23" s="12">
        <f t="shared" ca="1" si="6"/>
        <v>5.3345557689240026</v>
      </c>
    </row>
    <row r="24" spans="1:10" x14ac:dyDescent="0.2">
      <c r="A24" s="12">
        <v>0.13</v>
      </c>
      <c r="B24" s="12">
        <f t="shared" ca="1" si="2"/>
        <v>98.794732095342837</v>
      </c>
      <c r="C24" s="12">
        <f t="shared" ca="1" si="0"/>
        <v>8.8558527898889352</v>
      </c>
      <c r="D24" s="12">
        <f t="shared" ca="1" si="3"/>
        <v>0.59949199858679814</v>
      </c>
      <c r="E24" s="12">
        <f t="shared" ca="1" si="4"/>
        <v>-50.370798603795436</v>
      </c>
      <c r="F24" s="12">
        <f t="shared" ca="1" si="5"/>
        <v>50.63696836842621</v>
      </c>
      <c r="G24" s="12">
        <f t="shared" ca="1" si="1"/>
        <v>0.26616976463077435</v>
      </c>
      <c r="J24" s="12">
        <f t="shared" ca="1" si="6"/>
        <v>-2.1221812214778057</v>
      </c>
    </row>
    <row r="25" spans="1:10" x14ac:dyDescent="0.2">
      <c r="A25" s="12">
        <v>0.14000000000000001</v>
      </c>
      <c r="B25" s="12">
        <f t="shared" ca="1" si="2"/>
        <v>99.524143974927682</v>
      </c>
      <c r="C25" s="12">
        <f t="shared" ca="1" si="0"/>
        <v>9.2343894857941464</v>
      </c>
      <c r="D25" s="12">
        <f t="shared" ca="1" si="3"/>
        <v>0.60892538208183955</v>
      </c>
      <c r="E25" s="12">
        <f t="shared" ca="1" si="4"/>
        <v>-51.368387910506705</v>
      </c>
      <c r="F25" s="12">
        <f t="shared" ca="1" si="5"/>
        <v>51.601142600417745</v>
      </c>
      <c r="G25" s="12">
        <f t="shared" ca="1" si="1"/>
        <v>0.2327546899110402</v>
      </c>
      <c r="J25" s="12">
        <f t="shared" ca="1" si="6"/>
        <v>0.93884941713120817</v>
      </c>
    </row>
    <row r="26" spans="1:10" x14ac:dyDescent="0.2">
      <c r="A26" s="12">
        <v>0.15</v>
      </c>
      <c r="B26" s="12">
        <f t="shared" ca="1" si="2"/>
        <v>101.14675383364205</v>
      </c>
      <c r="C26" s="12">
        <f t="shared" ca="1" si="0"/>
        <v>10.194856272508552</v>
      </c>
      <c r="D26" s="12">
        <f t="shared" ca="1" si="3"/>
        <v>0.6304997026487108</v>
      </c>
      <c r="E26" s="12">
        <f t="shared" ca="1" si="4"/>
        <v>-53.578141943485107</v>
      </c>
      <c r="F26" s="12">
        <f t="shared" ca="1" si="5"/>
        <v>53.809122114441337</v>
      </c>
      <c r="G26" s="12">
        <f t="shared" ca="1" si="1"/>
        <v>0.23098017095622936</v>
      </c>
      <c r="J26" s="12">
        <f t="shared" ca="1" si="6"/>
        <v>2.1821724915054075</v>
      </c>
    </row>
    <row r="27" spans="1:10" x14ac:dyDescent="0.2">
      <c r="A27" s="12">
        <v>0.16</v>
      </c>
      <c r="B27" s="12">
        <f t="shared" ca="1" si="2"/>
        <v>97.517499647093544</v>
      </c>
      <c r="C27" s="12">
        <f t="shared" ca="1" si="0"/>
        <v>7.9067201958639899</v>
      </c>
      <c r="D27" s="12">
        <f t="shared" ca="1" si="3"/>
        <v>0.57879136855727065</v>
      </c>
      <c r="E27" s="12">
        <f t="shared" ca="1" si="4"/>
        <v>-48.535566883160442</v>
      </c>
      <c r="F27" s="12">
        <f t="shared" ca="1" si="5"/>
        <v>48.793565951246173</v>
      </c>
      <c r="G27" s="12">
        <f t="shared" ca="1" si="1"/>
        <v>0.2579990680857307</v>
      </c>
      <c r="J27" s="12">
        <f t="shared" ca="1" si="6"/>
        <v>-5.0424674515138106</v>
      </c>
    </row>
    <row r="28" spans="1:10" x14ac:dyDescent="0.2">
      <c r="A28" s="12">
        <v>0.17</v>
      </c>
      <c r="B28" s="12">
        <f t="shared" ca="1" si="2"/>
        <v>96.204128539064541</v>
      </c>
      <c r="C28" s="12">
        <f t="shared" ca="1" si="0"/>
        <v>7.1091482984572139</v>
      </c>
      <c r="D28" s="12">
        <f t="shared" ca="1" si="3"/>
        <v>0.5583980172402182</v>
      </c>
      <c r="E28" s="12">
        <f t="shared" ca="1" si="4"/>
        <v>-46.611046328079517</v>
      </c>
      <c r="F28" s="12">
        <f t="shared" ca="1" si="5"/>
        <v>46.856044242986179</v>
      </c>
      <c r="G28" s="12">
        <f t="shared" ca="1" si="1"/>
        <v>0.24499791490666212</v>
      </c>
      <c r="J28" s="12">
        <f t="shared" ca="1" si="6"/>
        <v>-1.9619245914480146</v>
      </c>
    </row>
    <row r="29" spans="1:10" x14ac:dyDescent="0.2">
      <c r="A29" s="12">
        <v>0.18</v>
      </c>
      <c r="B29" s="12">
        <f t="shared" ca="1" si="2"/>
        <v>98.148876029636369</v>
      </c>
      <c r="C29" s="12">
        <f t="shared" ca="1" si="0"/>
        <v>8.1395081812480399</v>
      </c>
      <c r="D29" s="12">
        <f t="shared" ca="1" si="3"/>
        <v>0.5862754605492444</v>
      </c>
      <c r="E29" s="12">
        <f t="shared" ca="1" si="4"/>
        <v>-49.402769315417714</v>
      </c>
      <c r="F29" s="12">
        <f t="shared" ca="1" si="5"/>
        <v>49.61561785045032</v>
      </c>
      <c r="G29" s="12">
        <f t="shared" ca="1" si="1"/>
        <v>0.21284853503260592</v>
      </c>
      <c r="J29" s="12">
        <f t="shared" ca="1" si="6"/>
        <v>2.7361397273608281</v>
      </c>
    </row>
    <row r="30" spans="1:10" x14ac:dyDescent="0.2">
      <c r="A30" s="12">
        <v>0.19</v>
      </c>
      <c r="B30" s="12">
        <f t="shared" ca="1" si="2"/>
        <v>101.34207102678057</v>
      </c>
      <c r="C30" s="12">
        <f t="shared" ca="1" si="0"/>
        <v>10.045862541781361</v>
      </c>
      <c r="D30" s="12">
        <f t="shared" ca="1" si="3"/>
        <v>0.63095191233933989</v>
      </c>
      <c r="E30" s="12">
        <f t="shared" ca="1" si="4"/>
        <v>-53.896110972995054</v>
      </c>
      <c r="F30" s="12">
        <f t="shared" ca="1" si="5"/>
        <v>54.168036012897957</v>
      </c>
      <c r="G30" s="12">
        <f t="shared" ca="1" si="1"/>
        <v>0.27192503990290362</v>
      </c>
      <c r="J30" s="12">
        <f t="shared" ca="1" si="6"/>
        <v>4.527604150536396</v>
      </c>
    </row>
    <row r="31" spans="1:10" x14ac:dyDescent="0.2">
      <c r="A31" s="12">
        <v>0.2</v>
      </c>
      <c r="B31" s="12">
        <f t="shared" ca="1" si="2"/>
        <v>97.915022253398121</v>
      </c>
      <c r="C31" s="12">
        <f t="shared" ca="1" si="0"/>
        <v>7.8695671391981037</v>
      </c>
      <c r="D31" s="12">
        <f t="shared" ca="1" si="3"/>
        <v>0.58110111223153116</v>
      </c>
      <c r="E31" s="12">
        <f t="shared" ca="1" si="4"/>
        <v>-49.028961196426671</v>
      </c>
      <c r="F31" s="12">
        <f t="shared" ca="1" si="5"/>
        <v>49.31398460113175</v>
      </c>
      <c r="G31" s="12">
        <f t="shared" ca="1" si="1"/>
        <v>0.28502340470507903</v>
      </c>
      <c r="J31" s="12">
        <f t="shared" ca="1" si="6"/>
        <v>-4.881142201905794</v>
      </c>
    </row>
    <row r="32" spans="1:10" x14ac:dyDescent="0.2">
      <c r="A32" s="12">
        <v>0.21</v>
      </c>
      <c r="B32" s="12">
        <f t="shared" ca="1" si="2"/>
        <v>96.105347185626542</v>
      </c>
      <c r="C32" s="12">
        <f t="shared" ca="1" si="0"/>
        <v>6.7965504097019789</v>
      </c>
      <c r="D32" s="12">
        <f t="shared" ca="1" si="3"/>
        <v>0.55269701398216464</v>
      </c>
      <c r="E32" s="12">
        <f t="shared" ca="1" si="4"/>
        <v>-46.320588007513038</v>
      </c>
      <c r="F32" s="12">
        <f t="shared" ca="1" si="5"/>
        <v>46.60886203495788</v>
      </c>
      <c r="G32" s="12">
        <f t="shared" ca="1" si="1"/>
        <v>0.28827402744484232</v>
      </c>
      <c r="J32" s="12">
        <f t="shared" ca="1" si="6"/>
        <v>-2.729785723750016</v>
      </c>
    </row>
    <row r="33" spans="1:10" x14ac:dyDescent="0.2">
      <c r="A33" s="12">
        <v>0.22</v>
      </c>
      <c r="B33" s="12">
        <f t="shared" ca="1" si="2"/>
        <v>104.5946980787045</v>
      </c>
      <c r="C33" s="12">
        <f t="shared" ca="1" si="0"/>
        <v>12.054592793493491</v>
      </c>
      <c r="D33" s="12">
        <f t="shared" ca="1" si="3"/>
        <v>0.67336426921651327</v>
      </c>
      <c r="E33" s="12">
        <f t="shared" ca="1" si="4"/>
        <v>-58.375739642195207</v>
      </c>
      <c r="F33" s="12">
        <f t="shared" ca="1" si="5"/>
        <v>59.253327422276918</v>
      </c>
      <c r="G33" s="12">
        <f t="shared" ca="1" si="1"/>
        <v>0.87758778008171134</v>
      </c>
      <c r="J33" s="12">
        <f t="shared" ca="1" si="6"/>
        <v>12.62115512922267</v>
      </c>
    </row>
    <row r="34" spans="1:10" x14ac:dyDescent="0.2">
      <c r="A34" s="12">
        <v>0.23</v>
      </c>
      <c r="B34" s="12">
        <f t="shared" ca="1" si="2"/>
        <v>103.29950514175177</v>
      </c>
      <c r="C34" s="12">
        <f t="shared" ca="1" si="0"/>
        <v>11.074790408398144</v>
      </c>
      <c r="D34" s="12">
        <f t="shared" ca="1" si="3"/>
        <v>0.65585921752274234</v>
      </c>
      <c r="E34" s="12">
        <f t="shared" ca="1" si="4"/>
        <v>-56.67514220435767</v>
      </c>
      <c r="F34" s="12">
        <f t="shared" ca="1" si="5"/>
        <v>57.474698316441255</v>
      </c>
      <c r="G34" s="12">
        <f t="shared" ca="1" si="1"/>
        <v>0.7995561120835859</v>
      </c>
      <c r="J34" s="12">
        <f t="shared" ca="1" si="6"/>
        <v>-1.8082631774473199</v>
      </c>
    </row>
    <row r="35" spans="1:10" x14ac:dyDescent="0.2">
      <c r="A35" s="12">
        <v>0.24</v>
      </c>
      <c r="B35" s="12">
        <f t="shared" ca="1" si="2"/>
        <v>103.5437723379175</v>
      </c>
      <c r="C35" s="12">
        <f t="shared" ca="1" si="0"/>
        <v>11.17173191778344</v>
      </c>
      <c r="D35" s="12">
        <f t="shared" ca="1" si="3"/>
        <v>0.65880992273060501</v>
      </c>
      <c r="E35" s="12">
        <f t="shared" ca="1" si="4"/>
        <v>-57.043932735395352</v>
      </c>
      <c r="F35" s="12">
        <f t="shared" ca="1" si="5"/>
        <v>57.808969999413542</v>
      </c>
      <c r="G35" s="12">
        <f t="shared" ca="1" si="1"/>
        <v>0.76503726401818994</v>
      </c>
      <c r="J35" s="12">
        <f t="shared" ca="1" si="6"/>
        <v>0.30552714827923977</v>
      </c>
    </row>
    <row r="36" spans="1:10" x14ac:dyDescent="0.2">
      <c r="A36" s="12">
        <v>0.25</v>
      </c>
      <c r="B36" s="12">
        <f t="shared" ca="1" si="2"/>
        <v>102.66061284473682</v>
      </c>
      <c r="C36" s="12">
        <f t="shared" ca="1" si="0"/>
        <v>10.495315072841613</v>
      </c>
      <c r="D36" s="12">
        <f t="shared" ca="1" si="3"/>
        <v>0.64628489590295035</v>
      </c>
      <c r="E36" s="12">
        <f t="shared" ca="1" si="4"/>
        <v>-55.85268841285221</v>
      </c>
      <c r="F36" s="12">
        <f t="shared" ca="1" si="5"/>
        <v>56.552054781715199</v>
      </c>
      <c r="G36" s="12">
        <f t="shared" ca="1" si="1"/>
        <v>0.69936636886298942</v>
      </c>
      <c r="J36" s="12">
        <f t="shared" ca="1" si="6"/>
        <v>-1.2858269300237974</v>
      </c>
    </row>
    <row r="37" spans="1:10" x14ac:dyDescent="0.2">
      <c r="A37" s="12">
        <v>0.26</v>
      </c>
      <c r="B37" s="12">
        <f t="shared" ca="1" si="2"/>
        <v>102.94994141002401</v>
      </c>
      <c r="C37" s="12">
        <f t="shared" ca="1" si="0"/>
        <v>10.619230799385228</v>
      </c>
      <c r="D37" s="12">
        <f t="shared" ca="1" si="3"/>
        <v>0.64990394948698593</v>
      </c>
      <c r="E37" s="12">
        <f t="shared" ca="1" si="4"/>
        <v>-56.288342722443183</v>
      </c>
      <c r="F37" s="12">
        <f t="shared" ca="1" si="5"/>
        <v>56.952919233727414</v>
      </c>
      <c r="G37" s="12">
        <f t="shared" ca="1" si="1"/>
        <v>0.66457651128423123</v>
      </c>
      <c r="J37" s="12">
        <f t="shared" ca="1" si="6"/>
        <v>0.37258135443620044</v>
      </c>
    </row>
    <row r="38" spans="1:10" x14ac:dyDescent="0.2">
      <c r="A38" s="12">
        <v>0.27</v>
      </c>
      <c r="B38" s="12">
        <f t="shared" ca="1" si="2"/>
        <v>103.75855860264937</v>
      </c>
      <c r="C38" s="12">
        <f t="shared" ca="1" si="0"/>
        <v>11.103443555945091</v>
      </c>
      <c r="D38" s="12">
        <f t="shared" ca="1" si="3"/>
        <v>0.66074851166896331</v>
      </c>
      <c r="E38" s="12">
        <f t="shared" ca="1" si="4"/>
        <v>-57.454869613672386</v>
      </c>
      <c r="F38" s="12">
        <f t="shared" ca="1" si="5"/>
        <v>58.106618954324617</v>
      </c>
      <c r="G38" s="12">
        <f t="shared" ca="1" si="1"/>
        <v>0.65174934065223056</v>
      </c>
      <c r="J38" s="12">
        <f t="shared" ca="1" si="6"/>
        <v>1.1252161406787751</v>
      </c>
    </row>
    <row r="39" spans="1:10" x14ac:dyDescent="0.2">
      <c r="A39" s="12">
        <v>0.28000000000000003</v>
      </c>
      <c r="B39" s="12">
        <f t="shared" ca="1" si="2"/>
        <v>100.06342904422544</v>
      </c>
      <c r="C39" s="12">
        <f t="shared" ca="1" si="0"/>
        <v>8.5982703013946917</v>
      </c>
      <c r="D39" s="12">
        <f t="shared" ca="1" si="3"/>
        <v>0.60687806850871207</v>
      </c>
      <c r="E39" s="12">
        <f t="shared" ca="1" si="4"/>
        <v>-52.128030245323409</v>
      </c>
      <c r="F39" s="12">
        <f t="shared" ca="1" si="5"/>
        <v>52.745218261593067</v>
      </c>
      <c r="G39" s="12">
        <f t="shared" ca="1" si="1"/>
        <v>0.61718801626965814</v>
      </c>
      <c r="J39" s="12">
        <f t="shared" ca="1" si="6"/>
        <v>-5.3904612667467804</v>
      </c>
    </row>
    <row r="40" spans="1:10" x14ac:dyDescent="0.2">
      <c r="A40" s="12">
        <v>0.28999999999999998</v>
      </c>
      <c r="B40" s="12">
        <f t="shared" ca="1" si="2"/>
        <v>99.465763440893312</v>
      </c>
      <c r="C40" s="12">
        <f t="shared" ca="1" si="0"/>
        <v>8.1615636041802659</v>
      </c>
      <c r="D40" s="12">
        <f t="shared" ca="1" si="3"/>
        <v>0.59701846017376181</v>
      </c>
      <c r="E40" s="12">
        <f t="shared" ca="1" si="4"/>
        <v>-51.221333325309509</v>
      </c>
      <c r="F40" s="12">
        <f t="shared" ca="1" si="5"/>
        <v>51.790903994711115</v>
      </c>
      <c r="G40" s="12">
        <f t="shared" ca="1" si="1"/>
        <v>0.56957066940160672</v>
      </c>
      <c r="J40" s="12">
        <f t="shared" ca="1" si="6"/>
        <v>-0.98069347026402198</v>
      </c>
    </row>
    <row r="41" spans="1:10" x14ac:dyDescent="0.2">
      <c r="A41" s="12">
        <v>0.3</v>
      </c>
      <c r="B41" s="12">
        <f t="shared" ca="1" si="2"/>
        <v>97.117667357484351</v>
      </c>
      <c r="C41" s="12">
        <f t="shared" ca="1" si="0"/>
        <v>6.7394192118537006</v>
      </c>
      <c r="D41" s="12">
        <f t="shared" ca="1" si="3"/>
        <v>0.55899435652399698</v>
      </c>
      <c r="E41" s="12">
        <f t="shared" ca="1" si="4"/>
        <v>-47.548808759754849</v>
      </c>
      <c r="F41" s="12">
        <f t="shared" ca="1" si="5"/>
        <v>48.123993671826213</v>
      </c>
      <c r="G41" s="12">
        <f t="shared" ca="1" si="1"/>
        <v>0.57518491207136435</v>
      </c>
      <c r="J41" s="12">
        <f t="shared" ca="1" si="6"/>
        <v>-3.6928122498243674</v>
      </c>
    </row>
    <row r="42" spans="1:10" x14ac:dyDescent="0.2">
      <c r="A42" s="12">
        <v>0.31</v>
      </c>
      <c r="B42" s="12">
        <f t="shared" ca="1" si="2"/>
        <v>100.54630504031391</v>
      </c>
      <c r="C42" s="12">
        <f t="shared" ca="1" si="0"/>
        <v>8.6819759035089348</v>
      </c>
      <c r="D42" s="12">
        <f t="shared" ca="1" si="3"/>
        <v>0.61214181310364912</v>
      </c>
      <c r="E42" s="12">
        <f t="shared" ca="1" si="4"/>
        <v>-52.866621564741394</v>
      </c>
      <c r="F42" s="12">
        <f t="shared" ca="1" si="5"/>
        <v>53.491842066538581</v>
      </c>
      <c r="G42" s="12">
        <f t="shared" ca="1" si="1"/>
        <v>0.62522050179718747</v>
      </c>
      <c r="J42" s="12">
        <f t="shared" ca="1" si="6"/>
        <v>5.3437803813745433</v>
      </c>
    </row>
    <row r="43" spans="1:10" x14ac:dyDescent="0.2">
      <c r="A43" s="12">
        <v>0.32</v>
      </c>
      <c r="B43" s="12">
        <f t="shared" ca="1" si="2"/>
        <v>100.35676744597679</v>
      </c>
      <c r="C43" s="12">
        <f t="shared" ref="C43:C74" ca="1" si="7">CallOption(B43,Vi,0,int,E,T-A43)</f>
        <v>8.4905269512649184</v>
      </c>
      <c r="D43" s="12">
        <f t="shared" ref="D43:D74" ca="1" si="8">CallDelta(B43,$E$6,0,int,E,T-A43)</f>
        <v>0.60854379371640654</v>
      </c>
      <c r="E43" s="12">
        <f t="shared" ca="1" si="4"/>
        <v>-52.580961035424963</v>
      </c>
      <c r="F43" s="12">
        <f t="shared" ca="1" si="5"/>
        <v>53.157509080255032</v>
      </c>
      <c r="G43" s="12">
        <f t="shared" ref="G43:G74" ca="1" si="9">F43+E43</f>
        <v>0.57654804483006927</v>
      </c>
      <c r="J43" s="12">
        <f t="shared" ca="1" si="6"/>
        <v>-0.3610855949116194</v>
      </c>
    </row>
    <row r="44" spans="1:10" x14ac:dyDescent="0.2">
      <c r="A44" s="12">
        <v>0.33</v>
      </c>
      <c r="B44" s="12">
        <f t="shared" ref="B44:B75" ca="1" si="10">B43*EXP((int-0.5*Va^2)*dt+Va*SQRT(dt)*NORMSINV(RAND()))</f>
        <v>98.420168885252224</v>
      </c>
      <c r="C44" s="12">
        <f t="shared" ca="1" si="7"/>
        <v>7.2585827329656354</v>
      </c>
      <c r="D44" s="12">
        <f t="shared" ca="1" si="8"/>
        <v>0.57705044091140889</v>
      </c>
      <c r="E44" s="12">
        <f t="shared" ca="1" si="4"/>
        <v>-49.534819116844488</v>
      </c>
      <c r="F44" s="12">
        <f t="shared" ref="F44:F75" ca="1" si="11">J44+F43*EXP(int*dt)</f>
        <v>50.084513378760676</v>
      </c>
      <c r="G44" s="12">
        <f t="shared" ca="1" si="9"/>
        <v>0.54969426191618709</v>
      </c>
      <c r="J44" s="12">
        <f t="shared" ref="J44:J75" ca="1" si="12">(D44-D43)*B44</f>
        <v>-3.0995811018307009</v>
      </c>
    </row>
    <row r="45" spans="1:10" x14ac:dyDescent="0.2">
      <c r="A45" s="12">
        <v>0.34</v>
      </c>
      <c r="B45" s="12">
        <f t="shared" ca="1" si="10"/>
        <v>101.93736152330582</v>
      </c>
      <c r="C45" s="12">
        <f t="shared" ca="1" si="7"/>
        <v>9.352478603695161</v>
      </c>
      <c r="D45" s="12">
        <f t="shared" ca="1" si="8"/>
        <v>0.63156145097025151</v>
      </c>
      <c r="E45" s="12">
        <f t="shared" ca="1" si="4"/>
        <v>-55.027229348042951</v>
      </c>
      <c r="F45" s="12">
        <f t="shared" ca="1" si="11"/>
        <v>55.666270436426579</v>
      </c>
      <c r="G45" s="12">
        <f t="shared" ca="1" si="9"/>
        <v>0.63904108838362816</v>
      </c>
      <c r="J45" s="12">
        <f t="shared" ca="1" si="12"/>
        <v>5.5567085393688007</v>
      </c>
    </row>
    <row r="46" spans="1:10" x14ac:dyDescent="0.2">
      <c r="A46" s="12">
        <v>0.35</v>
      </c>
      <c r="B46" s="12">
        <f t="shared" ca="1" si="10"/>
        <v>97.675592998325001</v>
      </c>
      <c r="C46" s="12">
        <f t="shared" ca="1" si="7"/>
        <v>6.6947182143014672</v>
      </c>
      <c r="D46" s="12">
        <f t="shared" ca="1" si="8"/>
        <v>0.56279836415874018</v>
      </c>
      <c r="E46" s="12">
        <f t="shared" ca="1" si="4"/>
        <v>-48.276945743390741</v>
      </c>
      <c r="F46" s="12">
        <f t="shared" ca="1" si="11"/>
        <v>48.977635250378775</v>
      </c>
      <c r="G46" s="12">
        <f t="shared" ca="1" si="9"/>
        <v>0.70068950698803434</v>
      </c>
      <c r="J46" s="12">
        <f t="shared" ca="1" si="12"/>
        <v>-6.7164752807096706</v>
      </c>
    </row>
    <row r="47" spans="1:10" x14ac:dyDescent="0.2">
      <c r="A47" s="12">
        <v>0.36</v>
      </c>
      <c r="B47" s="12">
        <f t="shared" ca="1" si="10"/>
        <v>98.687980982601204</v>
      </c>
      <c r="C47" s="12">
        <f t="shared" ca="1" si="7"/>
        <v>7.1955534142046815</v>
      </c>
      <c r="D47" s="12">
        <f t="shared" ca="1" si="8"/>
        <v>0.57859639714784783</v>
      </c>
      <c r="E47" s="12">
        <f t="shared" ca="1" si="4"/>
        <v>-49.904956824123701</v>
      </c>
      <c r="F47" s="12">
        <f t="shared" ca="1" si="11"/>
        <v>50.561206170420419</v>
      </c>
      <c r="G47" s="12">
        <f t="shared" ca="1" si="9"/>
        <v>0.65624934629671827</v>
      </c>
      <c r="J47" s="12">
        <f t="shared" ca="1" si="12"/>
        <v>1.5590759791915618</v>
      </c>
    </row>
    <row r="48" spans="1:10" x14ac:dyDescent="0.2">
      <c r="A48" s="12">
        <v>0.37</v>
      </c>
      <c r="B48" s="12">
        <f t="shared" ca="1" si="10"/>
        <v>96.782212279574139</v>
      </c>
      <c r="C48" s="12">
        <f t="shared" ca="1" si="7"/>
        <v>6.068244524840317</v>
      </c>
      <c r="D48" s="12">
        <f t="shared" ca="1" si="8"/>
        <v>0.54537719644726435</v>
      </c>
      <c r="E48" s="12">
        <f t="shared" ca="1" si="4"/>
        <v>-46.714567074157827</v>
      </c>
      <c r="F48" s="12">
        <f t="shared" ca="1" si="11"/>
        <v>47.371465360748239</v>
      </c>
      <c r="G48" s="12">
        <f t="shared" ca="1" si="9"/>
        <v>0.65689828659041183</v>
      </c>
      <c r="J48" s="12">
        <f t="shared" ca="1" si="12"/>
        <v>-3.2150277339616489</v>
      </c>
    </row>
    <row r="49" spans="1:10" x14ac:dyDescent="0.2">
      <c r="A49" s="12">
        <v>0.38</v>
      </c>
      <c r="B49" s="12">
        <f t="shared" ca="1" si="10"/>
        <v>97.598994970918653</v>
      </c>
      <c r="C49" s="12">
        <f t="shared" ca="1" si="7"/>
        <v>6.4361686284505666</v>
      </c>
      <c r="D49" s="12">
        <f t="shared" ca="1" si="8"/>
        <v>0.55822121111512246</v>
      </c>
      <c r="E49" s="12">
        <f t="shared" ca="1" si="4"/>
        <v>-48.045660547834387</v>
      </c>
      <c r="F49" s="12">
        <f t="shared" ca="1" si="11"/>
        <v>48.648719938823497</v>
      </c>
      <c r="G49" s="12">
        <f t="shared" ca="1" si="9"/>
        <v>0.60305939098910954</v>
      </c>
      <c r="J49" s="12">
        <f t="shared" ca="1" si="12"/>
        <v>1.2535629229746899</v>
      </c>
    </row>
    <row r="50" spans="1:10" x14ac:dyDescent="0.2">
      <c r="A50" s="12">
        <v>0.39</v>
      </c>
      <c r="B50" s="12">
        <f t="shared" ca="1" si="10"/>
        <v>95.834367823635432</v>
      </c>
      <c r="C50" s="12">
        <f t="shared" ca="1" si="7"/>
        <v>5.4391556402388588</v>
      </c>
      <c r="D50" s="12">
        <f t="shared" ca="1" si="8"/>
        <v>0.52620392602658927</v>
      </c>
      <c r="E50" s="12">
        <f t="shared" ca="1" si="4"/>
        <v>-44.989264956834347</v>
      </c>
      <c r="F50" s="12">
        <f t="shared" ca="1" si="11"/>
        <v>45.604694105007852</v>
      </c>
      <c r="G50" s="12">
        <f t="shared" ca="1" si="9"/>
        <v>0.61542914817350436</v>
      </c>
      <c r="J50" s="12">
        <f t="shared" ca="1" si="12"/>
        <v>-3.0683562758886875</v>
      </c>
    </row>
    <row r="51" spans="1:10" x14ac:dyDescent="0.2">
      <c r="A51" s="12">
        <v>0.4</v>
      </c>
      <c r="B51" s="12">
        <f t="shared" ca="1" si="10"/>
        <v>92.203091055085864</v>
      </c>
      <c r="C51" s="12">
        <f t="shared" ca="1" si="7"/>
        <v>3.7367344417011665</v>
      </c>
      <c r="D51" s="12">
        <f t="shared" ca="1" si="8"/>
        <v>0.45856905891452215</v>
      </c>
      <c r="E51" s="12">
        <f t="shared" ca="1" si="4"/>
        <v>-38.544750252439556</v>
      </c>
      <c r="F51" s="12">
        <f t="shared" ca="1" si="11"/>
        <v>39.391358342764775</v>
      </c>
      <c r="G51" s="12">
        <f t="shared" ca="1" si="9"/>
        <v>0.84660809032521911</v>
      </c>
      <c r="J51" s="12">
        <f t="shared" ca="1" si="12"/>
        <v>-6.2361438108325569</v>
      </c>
    </row>
    <row r="52" spans="1:10" x14ac:dyDescent="0.2">
      <c r="A52" s="12">
        <v>0.41</v>
      </c>
      <c r="B52" s="12">
        <f t="shared" ca="1" si="10"/>
        <v>95.089181830817154</v>
      </c>
      <c r="C52" s="12">
        <f t="shared" ca="1" si="7"/>
        <v>4.9353784636985196</v>
      </c>
      <c r="D52" s="12">
        <f t="shared" ca="1" si="8"/>
        <v>0.50985861400046439</v>
      </c>
      <c r="E52" s="12">
        <f t="shared" ca="1" si="4"/>
        <v>-43.546659991000055</v>
      </c>
      <c r="F52" s="12">
        <f t="shared" ca="1" si="11"/>
        <v>44.288140776265578</v>
      </c>
      <c r="G52" s="12">
        <f t="shared" ca="1" si="9"/>
        <v>0.74148078526552297</v>
      </c>
      <c r="J52" s="12">
        <f t="shared" ca="1" si="12"/>
        <v>4.8770818295888745</v>
      </c>
    </row>
    <row r="53" spans="1:10" x14ac:dyDescent="0.2">
      <c r="A53" s="12">
        <v>0.42</v>
      </c>
      <c r="B53" s="12">
        <f t="shared" ca="1" si="10"/>
        <v>97.602210809891915</v>
      </c>
      <c r="C53" s="12">
        <f t="shared" ca="1" si="7"/>
        <v>6.1442357018704286</v>
      </c>
      <c r="D53" s="12">
        <f t="shared" ca="1" si="8"/>
        <v>0.55367000239465369</v>
      </c>
      <c r="E53" s="12">
        <f t="shared" ca="1" si="4"/>
        <v>-47.895180590965921</v>
      </c>
      <c r="F53" s="12">
        <f t="shared" ca="1" si="11"/>
        <v>48.586378749517806</v>
      </c>
      <c r="G53" s="12">
        <f t="shared" ca="1" si="9"/>
        <v>0.69119815855188449</v>
      </c>
      <c r="J53" s="12">
        <f t="shared" ca="1" si="12"/>
        <v>4.2760883659237159</v>
      </c>
    </row>
    <row r="54" spans="1:10" x14ac:dyDescent="0.2">
      <c r="A54" s="12">
        <v>0.43</v>
      </c>
      <c r="B54" s="12">
        <f t="shared" ca="1" si="10"/>
        <v>101.72018928148164</v>
      </c>
      <c r="C54" s="12">
        <f t="shared" ca="1" si="7"/>
        <v>8.5201540944752665</v>
      </c>
      <c r="D54" s="12">
        <f t="shared" ca="1" si="8"/>
        <v>0.623383889048024</v>
      </c>
      <c r="E54" s="12">
        <f t="shared" ca="1" si="4"/>
        <v>-54.890573094515879</v>
      </c>
      <c r="F54" s="12">
        <f t="shared" ca="1" si="11"/>
        <v>55.70198775913083</v>
      </c>
      <c r="G54" s="12">
        <f t="shared" ca="1" si="9"/>
        <v>0.81141466461495071</v>
      </c>
      <c r="J54" s="12">
        <f t="shared" ca="1" si="12"/>
        <v>7.0913097459285837</v>
      </c>
    </row>
    <row r="55" spans="1:10" x14ac:dyDescent="0.2">
      <c r="A55" s="12">
        <v>0.44</v>
      </c>
      <c r="B55" s="12">
        <f t="shared" ca="1" si="10"/>
        <v>100.18204768725722</v>
      </c>
      <c r="C55" s="12">
        <f t="shared" ca="1" si="7"/>
        <v>7.476178098489612</v>
      </c>
      <c r="D55" s="12">
        <f t="shared" ca="1" si="8"/>
        <v>0.59680011354224505</v>
      </c>
      <c r="E55" s="12">
        <f t="shared" ca="1" si="4"/>
        <v>-52.312479336160109</v>
      </c>
      <c r="F55" s="12">
        <f t="shared" ca="1" si="11"/>
        <v>53.066628651492174</v>
      </c>
      <c r="G55" s="12">
        <f t="shared" ca="1" si="9"/>
        <v>0.75414931533206442</v>
      </c>
      <c r="J55" s="12">
        <f t="shared" ca="1" si="12"/>
        <v>-2.6632170654272875</v>
      </c>
    </row>
    <row r="56" spans="1:10" x14ac:dyDescent="0.2">
      <c r="A56" s="12">
        <v>0.45</v>
      </c>
      <c r="B56" s="12">
        <f t="shared" ca="1" si="10"/>
        <v>103.94146790879876</v>
      </c>
      <c r="C56" s="12">
        <f t="shared" ca="1" si="7"/>
        <v>9.8559233751491888</v>
      </c>
      <c r="D56" s="12">
        <f t="shared" ca="1" si="8"/>
        <v>0.6585833163416559</v>
      </c>
      <c r="E56" s="12">
        <f t="shared" ca="1" si="4"/>
        <v>-58.598193265647296</v>
      </c>
      <c r="F56" s="12">
        <f t="shared" ca="1" si="11"/>
        <v>59.515005391329957</v>
      </c>
      <c r="G56" s="12">
        <f t="shared" ca="1" si="9"/>
        <v>0.91681212568266091</v>
      </c>
      <c r="J56" s="12">
        <f t="shared" ca="1" si="12"/>
        <v>6.4218367910777685</v>
      </c>
    </row>
    <row r="57" spans="1:10" x14ac:dyDescent="0.2">
      <c r="A57" s="12">
        <v>0.46</v>
      </c>
      <c r="B57" s="12">
        <f t="shared" ca="1" si="10"/>
        <v>103.10893590919694</v>
      </c>
      <c r="C57" s="12">
        <f t="shared" ca="1" si="7"/>
        <v>9.2019000956711636</v>
      </c>
      <c r="D57" s="12">
        <f t="shared" ca="1" si="8"/>
        <v>0.64489638684391026</v>
      </c>
      <c r="E57" s="12">
        <f t="shared" ca="1" si="4"/>
        <v>-57.292680123490257</v>
      </c>
      <c r="F57" s="12">
        <f t="shared" ca="1" si="11"/>
        <v>58.13352559826459</v>
      </c>
      <c r="G57" s="12">
        <f t="shared" ca="1" si="9"/>
        <v>0.84084547477433347</v>
      </c>
      <c r="J57" s="12">
        <f t="shared" ca="1" si="12"/>
        <v>-1.411244736376752</v>
      </c>
    </row>
    <row r="58" spans="1:10" x14ac:dyDescent="0.2">
      <c r="A58" s="12">
        <v>0.47</v>
      </c>
      <c r="B58" s="12">
        <f t="shared" ca="1" si="10"/>
        <v>97.856844694299795</v>
      </c>
      <c r="C58" s="12">
        <f t="shared" ca="1" si="7"/>
        <v>5.904632755062039</v>
      </c>
      <c r="D58" s="12">
        <f t="shared" ca="1" si="8"/>
        <v>0.55224752192926618</v>
      </c>
      <c r="E58" s="12">
        <f t="shared" ca="1" si="4"/>
        <v>-48.136567231182084</v>
      </c>
      <c r="F58" s="12">
        <f t="shared" ca="1" si="11"/>
        <v>49.096274043910199</v>
      </c>
      <c r="G58" s="12">
        <f t="shared" ca="1" si="9"/>
        <v>0.95970681272811476</v>
      </c>
      <c r="J58" s="12">
        <f t="shared" ca="1" si="12"/>
        <v>-9.0663255850554876</v>
      </c>
    </row>
    <row r="59" spans="1:10" x14ac:dyDescent="0.2">
      <c r="A59" s="12">
        <v>0.48</v>
      </c>
      <c r="B59" s="12">
        <f t="shared" ca="1" si="10"/>
        <v>102.04070052552547</v>
      </c>
      <c r="C59" s="12">
        <f t="shared" ca="1" si="7"/>
        <v>8.3282672304574632</v>
      </c>
      <c r="D59" s="12">
        <f t="shared" ca="1" si="8"/>
        <v>0.62617258941003118</v>
      </c>
      <c r="E59" s="12">
        <f t="shared" ca="1" si="4"/>
        <v>-55.566822442824346</v>
      </c>
      <c r="F59" s="12">
        <f t="shared" ca="1" si="11"/>
        <v>56.664193991123376</v>
      </c>
      <c r="G59" s="12">
        <f t="shared" ca="1" si="9"/>
        <v>1.0973715482990301</v>
      </c>
      <c r="J59" s="12">
        <f t="shared" ca="1" si="12"/>
        <v>7.5433656721340023</v>
      </c>
    </row>
    <row r="60" spans="1:10" x14ac:dyDescent="0.2">
      <c r="A60" s="12">
        <v>0.49</v>
      </c>
      <c r="B60" s="12">
        <f t="shared" ca="1" si="10"/>
        <v>101.3263947964796</v>
      </c>
      <c r="C60" s="12">
        <f t="shared" ca="1" si="7"/>
        <v>7.7872075030162762</v>
      </c>
      <c r="D60" s="12">
        <f t="shared" ca="1" si="8"/>
        <v>0.61319223492463981</v>
      </c>
      <c r="E60" s="12">
        <f t="shared" ca="1" si="4"/>
        <v>-54.345350979093446</v>
      </c>
      <c r="F60" s="12">
        <f t="shared" ca="1" si="11"/>
        <v>55.377280649138811</v>
      </c>
      <c r="G60" s="12">
        <f t="shared" ca="1" si="9"/>
        <v>1.0319296700453648</v>
      </c>
      <c r="J60" s="12">
        <f t="shared" ca="1" si="12"/>
        <v>-1.3152525231850203</v>
      </c>
    </row>
    <row r="61" spans="1:10" x14ac:dyDescent="0.2">
      <c r="A61" s="12">
        <v>0.5</v>
      </c>
      <c r="B61" s="12">
        <f t="shared" ca="1" si="10"/>
        <v>102.61625048079544</v>
      </c>
      <c r="C61" s="12">
        <f t="shared" ca="1" si="7"/>
        <v>8.5437436185573077</v>
      </c>
      <c r="D61" s="12">
        <f t="shared" ca="1" si="8"/>
        <v>0.63520180654232561</v>
      </c>
      <c r="E61" s="12">
        <f t="shared" ca="1" si="4"/>
        <v>-56.638284067443742</v>
      </c>
      <c r="F61" s="12">
        <f t="shared" ca="1" si="11"/>
        <v>57.663515926872748</v>
      </c>
      <c r="G61" s="12">
        <f t="shared" ca="1" si="9"/>
        <v>1.025231859429006</v>
      </c>
      <c r="J61" s="12">
        <f t="shared" ca="1" si="12"/>
        <v>2.258539714095452</v>
      </c>
    </row>
    <row r="62" spans="1:10" x14ac:dyDescent="0.2">
      <c r="A62" s="12">
        <v>0.51</v>
      </c>
      <c r="B62" s="12">
        <f t="shared" ca="1" si="10"/>
        <v>105.50475558072689</v>
      </c>
      <c r="C62" s="12">
        <f t="shared" ca="1" si="7"/>
        <v>10.486529799840739</v>
      </c>
      <c r="D62" s="12">
        <f t="shared" ca="1" si="8"/>
        <v>0.68326101604700029</v>
      </c>
      <c r="E62" s="12">
        <f t="shared" ca="1" si="4"/>
        <v>-61.600756696037138</v>
      </c>
      <c r="F62" s="12">
        <f t="shared" ca="1" si="11"/>
        <v>62.762830046170798</v>
      </c>
      <c r="G62" s="12">
        <f t="shared" ca="1" si="9"/>
        <v>1.1620733501336602</v>
      </c>
      <c r="J62" s="12">
        <f t="shared" ca="1" si="12"/>
        <v>5.0704751521936489</v>
      </c>
    </row>
    <row r="63" spans="1:10" x14ac:dyDescent="0.2">
      <c r="A63" s="12">
        <v>0.52</v>
      </c>
      <c r="B63" s="12">
        <f t="shared" ca="1" si="10"/>
        <v>102.22719406264899</v>
      </c>
      <c r="C63" s="12">
        <f t="shared" ca="1" si="7"/>
        <v>8.1200101449464626</v>
      </c>
      <c r="D63" s="12">
        <f t="shared" ca="1" si="8"/>
        <v>0.62755060247967009</v>
      </c>
      <c r="E63" s="12">
        <f t="shared" ca="1" si="4"/>
        <v>-56.03272707887507</v>
      </c>
      <c r="F63" s="12">
        <f t="shared" ca="1" si="11"/>
        <v>57.09910004879746</v>
      </c>
      <c r="G63" s="12">
        <f t="shared" ca="1" si="9"/>
        <v>1.0663729699223907</v>
      </c>
      <c r="J63" s="12">
        <f t="shared" ca="1" si="12"/>
        <v>-5.695119259057897</v>
      </c>
    </row>
    <row r="64" spans="1:10" x14ac:dyDescent="0.2">
      <c r="A64" s="12">
        <v>0.53</v>
      </c>
      <c r="B64" s="12">
        <f t="shared" ca="1" si="10"/>
        <v>98.632291363682043</v>
      </c>
      <c r="C64" s="12">
        <f t="shared" ca="1" si="7"/>
        <v>5.8558141347887442</v>
      </c>
      <c r="D64" s="12">
        <f t="shared" ca="1" si="8"/>
        <v>0.55967155609132879</v>
      </c>
      <c r="E64" s="12">
        <f t="shared" ca="1" si="4"/>
        <v>-49.345873853576514</v>
      </c>
      <c r="F64" s="12">
        <f t="shared" ca="1" si="11"/>
        <v>50.432590856535306</v>
      </c>
      <c r="G64" s="12">
        <f t="shared" ca="1" si="9"/>
        <v>1.0867170029587925</v>
      </c>
      <c r="J64" s="12">
        <f t="shared" ca="1" si="12"/>
        <v>-6.6950658808637682</v>
      </c>
    </row>
    <row r="65" spans="1:10" x14ac:dyDescent="0.2">
      <c r="A65" s="12">
        <v>0.54</v>
      </c>
      <c r="B65" s="12">
        <f t="shared" ca="1" si="10"/>
        <v>98.212030338790328</v>
      </c>
      <c r="C65" s="12">
        <f t="shared" ca="1" si="7"/>
        <v>5.5439889581813873</v>
      </c>
      <c r="D65" s="12">
        <f t="shared" ca="1" si="8"/>
        <v>0.55017555116372463</v>
      </c>
      <c r="E65" s="12">
        <f t="shared" ca="1" si="4"/>
        <v>-48.489868964371027</v>
      </c>
      <c r="F65" s="12">
        <f t="shared" ca="1" si="11"/>
        <v>49.525191533041074</v>
      </c>
      <c r="G65" s="12">
        <f t="shared" ca="1" si="9"/>
        <v>1.0353225686700469</v>
      </c>
      <c r="J65" s="12">
        <f t="shared" ca="1" si="12"/>
        <v>-0.93262192404716249</v>
      </c>
    </row>
    <row r="66" spans="1:10" x14ac:dyDescent="0.2">
      <c r="A66" s="12">
        <v>0.55000000000000004</v>
      </c>
      <c r="B66" s="12">
        <f t="shared" ca="1" si="10"/>
        <v>100.63230237558864</v>
      </c>
      <c r="C66" s="12">
        <f t="shared" ca="1" si="7"/>
        <v>6.8559644084679263</v>
      </c>
      <c r="D66" s="12">
        <f t="shared" ca="1" si="8"/>
        <v>0.59628652406506444</v>
      </c>
      <c r="E66" s="12">
        <f t="shared" ca="1" si="4"/>
        <v>-53.149721383736349</v>
      </c>
      <c r="F66" s="12">
        <f t="shared" ca="1" si="11"/>
        <v>54.19021368832864</v>
      </c>
      <c r="G66" s="12">
        <f t="shared" ca="1" si="9"/>
        <v>1.0404923045922914</v>
      </c>
      <c r="J66" s="12">
        <f t="shared" ca="1" si="12"/>
        <v>4.6402533678402014</v>
      </c>
    </row>
    <row r="67" spans="1:10" x14ac:dyDescent="0.2">
      <c r="A67" s="12">
        <v>0.56000000000000005</v>
      </c>
      <c r="B67" s="12">
        <f t="shared" ca="1" si="10"/>
        <v>96.705864697001374</v>
      </c>
      <c r="C67" s="12">
        <f t="shared" ca="1" si="7"/>
        <v>4.6042315626608499</v>
      </c>
      <c r="D67" s="12">
        <f t="shared" ca="1" si="8"/>
        <v>0.5166424854667887</v>
      </c>
      <c r="E67" s="12">
        <f t="shared" ca="1" si="4"/>
        <v>-45.35812673361292</v>
      </c>
      <c r="F67" s="12">
        <f t="shared" ca="1" si="11"/>
        <v>46.515269949471012</v>
      </c>
      <c r="G67" s="12">
        <f t="shared" ca="1" si="9"/>
        <v>1.1571432158580919</v>
      </c>
      <c r="J67" s="12">
        <f t="shared" ca="1" si="12"/>
        <v>-7.702045620607608</v>
      </c>
    </row>
    <row r="68" spans="1:10" x14ac:dyDescent="0.2">
      <c r="A68" s="12">
        <v>0.56999999999999995</v>
      </c>
      <c r="B68" s="12">
        <f t="shared" ca="1" si="10"/>
        <v>98.618445574291414</v>
      </c>
      <c r="C68" s="12">
        <f t="shared" ca="1" si="7"/>
        <v>5.5179480768525764</v>
      </c>
      <c r="D68" s="12">
        <f t="shared" ca="1" si="8"/>
        <v>0.55445863435479004</v>
      </c>
      <c r="E68" s="12">
        <f t="shared" ca="1" si="4"/>
        <v>-49.161900578461228</v>
      </c>
      <c r="F68" s="12">
        <f t="shared" ca="1" si="11"/>
        <v>50.267903220764339</v>
      </c>
      <c r="G68" s="12">
        <f t="shared" ca="1" si="9"/>
        <v>1.1060026423031104</v>
      </c>
      <c r="J68" s="12">
        <f t="shared" ca="1" si="12"/>
        <v>3.7293698209406601</v>
      </c>
    </row>
    <row r="69" spans="1:10" x14ac:dyDescent="0.2">
      <c r="A69" s="12">
        <v>0.57999999999999996</v>
      </c>
      <c r="B69" s="12">
        <f t="shared" ca="1" si="10"/>
        <v>100.62664617045272</v>
      </c>
      <c r="C69" s="12">
        <f t="shared" ca="1" si="7"/>
        <v>6.5948920150032322</v>
      </c>
      <c r="D69" s="12">
        <f t="shared" ca="1" si="8"/>
        <v>0.59380889920236024</v>
      </c>
      <c r="E69" s="12">
        <f t="shared" ca="1" si="4"/>
        <v>-53.158105977898693</v>
      </c>
      <c r="F69" s="12">
        <f t="shared" ca="1" si="11"/>
        <v>54.252728634440047</v>
      </c>
      <c r="G69" s="12">
        <f t="shared" ca="1" si="9"/>
        <v>1.0946226565413539</v>
      </c>
      <c r="J69" s="12">
        <f t="shared" ca="1" si="12"/>
        <v>3.9596851775300506</v>
      </c>
    </row>
    <row r="70" spans="1:10" x14ac:dyDescent="0.2">
      <c r="A70" s="12">
        <v>0.59</v>
      </c>
      <c r="B70" s="12">
        <f t="shared" ca="1" si="10"/>
        <v>102.60805979901215</v>
      </c>
      <c r="C70" s="12">
        <f t="shared" ca="1" si="7"/>
        <v>7.7686003569012669</v>
      </c>
      <c r="D70" s="12">
        <f t="shared" ca="1" si="8"/>
        <v>0.63186439382862447</v>
      </c>
      <c r="E70" s="12">
        <f t="shared" ca="1" si="4"/>
        <v>-57.065779149932801</v>
      </c>
      <c r="F70" s="12">
        <f t="shared" ca="1" si="11"/>
        <v>58.184662249771456</v>
      </c>
      <c r="G70" s="12">
        <f t="shared" ca="1" si="9"/>
        <v>1.118883099838655</v>
      </c>
      <c r="J70" s="12">
        <f t="shared" ca="1" si="12"/>
        <v>3.9048004682927058</v>
      </c>
    </row>
    <row r="71" spans="1:10" x14ac:dyDescent="0.2">
      <c r="A71" s="12">
        <v>0.6</v>
      </c>
      <c r="B71" s="12">
        <f t="shared" ca="1" si="10"/>
        <v>104.35767131303406</v>
      </c>
      <c r="C71" s="12">
        <f t="shared" ca="1" si="7"/>
        <v>8.8841808755458942</v>
      </c>
      <c r="D71" s="12">
        <f t="shared" ca="1" si="8"/>
        <v>0.66461213167036337</v>
      </c>
      <c r="E71" s="12">
        <f t="shared" ca="1" si="4"/>
        <v>-60.473193511964794</v>
      </c>
      <c r="F71" s="12">
        <f t="shared" ca="1" si="11"/>
        <v>61.631239517125046</v>
      </c>
      <c r="G71" s="12">
        <f t="shared" ca="1" si="9"/>
        <v>1.1580460051602515</v>
      </c>
      <c r="J71" s="12">
        <f t="shared" ca="1" si="12"/>
        <v>3.4174776619335954</v>
      </c>
    </row>
    <row r="72" spans="1:10" x14ac:dyDescent="0.2">
      <c r="A72" s="12">
        <v>0.61</v>
      </c>
      <c r="B72" s="12">
        <f t="shared" ca="1" si="10"/>
        <v>104.09906961187501</v>
      </c>
      <c r="C72" s="12">
        <f t="shared" ca="1" si="7"/>
        <v>8.6114760798954961</v>
      </c>
      <c r="D72" s="12">
        <f t="shared" ca="1" si="8"/>
        <v>0.65989807608327755</v>
      </c>
      <c r="E72" s="12">
        <f t="shared" ca="1" si="4"/>
        <v>-60.08329967904001</v>
      </c>
      <c r="F72" s="12">
        <f t="shared" ca="1" si="11"/>
        <v>61.171334041358392</v>
      </c>
      <c r="G72" s="12">
        <f t="shared" ca="1" si="9"/>
        <v>1.0880343623183819</v>
      </c>
      <c r="J72" s="12">
        <f t="shared" ca="1" si="12"/>
        <v>-0.49072880071429503</v>
      </c>
    </row>
    <row r="73" spans="1:10" x14ac:dyDescent="0.2">
      <c r="A73" s="12">
        <v>0.62</v>
      </c>
      <c r="B73" s="12">
        <f t="shared" ca="1" si="10"/>
        <v>101.79525340112794</v>
      </c>
      <c r="C73" s="12">
        <f t="shared" ca="1" si="7"/>
        <v>6.9687783307277513</v>
      </c>
      <c r="D73" s="12">
        <f t="shared" ca="1" si="8"/>
        <v>0.61463546156095161</v>
      </c>
      <c r="E73" s="12">
        <f t="shared" ca="1" si="4"/>
        <v>-55.598194228188547</v>
      </c>
      <c r="F73" s="12">
        <f t="shared" ca="1" si="11"/>
        <v>56.594408041172642</v>
      </c>
      <c r="G73" s="12">
        <f t="shared" ca="1" si="9"/>
        <v>0.99621381298409517</v>
      </c>
      <c r="J73" s="12">
        <f t="shared" ca="1" si="12"/>
        <v>-4.6075193148977425</v>
      </c>
    </row>
    <row r="74" spans="1:10" x14ac:dyDescent="0.2">
      <c r="A74" s="12">
        <v>0.63</v>
      </c>
      <c r="B74" s="12">
        <f t="shared" ca="1" si="10"/>
        <v>104.37793260614741</v>
      </c>
      <c r="C74" s="12">
        <f t="shared" ca="1" si="7"/>
        <v>8.6282015324641179</v>
      </c>
      <c r="D74" s="12">
        <f t="shared" ca="1" si="8"/>
        <v>0.66546576349581998</v>
      </c>
      <c r="E74" s="12">
        <f t="shared" ca="1" si="4"/>
        <v>-60.831739081401011</v>
      </c>
      <c r="F74" s="12">
        <f t="shared" ca="1" si="11"/>
        <v>61.928274150381242</v>
      </c>
      <c r="G74" s="12">
        <f t="shared" ca="1" si="9"/>
        <v>1.0965350689802307</v>
      </c>
      <c r="J74" s="12">
        <f t="shared" ca="1" si="12"/>
        <v>5.3055618297078153</v>
      </c>
    </row>
    <row r="75" spans="1:10" x14ac:dyDescent="0.2">
      <c r="A75" s="12">
        <v>0.64</v>
      </c>
      <c r="B75" s="12">
        <f t="shared" ca="1" si="10"/>
        <v>108.20558332425691</v>
      </c>
      <c r="C75" s="12">
        <f t="shared" ref="C75:C106" ca="1" si="13">CallOption(B75,Vi,0,int,E,T-A75)</f>
        <v>11.456222607917368</v>
      </c>
      <c r="D75" s="12">
        <f t="shared" ref="D75:D110" ca="1" si="14">CallDelta(B75,$E$6,0,int,E,T-A75)</f>
        <v>0.73503954262914506</v>
      </c>
      <c r="E75" s="12">
        <f t="shared" ca="1" si="4"/>
        <v>-68.079159868664277</v>
      </c>
      <c r="F75" s="12">
        <f t="shared" ca="1" si="11"/>
        <v>69.487517384975476</v>
      </c>
      <c r="G75" s="12">
        <f t="shared" ref="G75:G106" ca="1" si="15">F75+E75</f>
        <v>1.4083575163111988</v>
      </c>
      <c r="J75" s="12">
        <f t="shared" ca="1" si="12"/>
        <v>7.5282713551944527</v>
      </c>
    </row>
    <row r="76" spans="1:10" x14ac:dyDescent="0.2">
      <c r="A76" s="12">
        <v>0.65</v>
      </c>
      <c r="B76" s="12">
        <f t="shared" ref="B76:B111" ca="1" si="16">B75*EXP((int-0.5*Va^2)*dt+Va*SQRT(dt)*NORMSINV(RAND()))</f>
        <v>110.97667378738379</v>
      </c>
      <c r="C76" s="12">
        <f t="shared" ca="1" si="13"/>
        <v>13.685832362683954</v>
      </c>
      <c r="D76" s="12">
        <f t="shared" ca="1" si="14"/>
        <v>0.78058210725856858</v>
      </c>
      <c r="E76" s="12">
        <f t="shared" ref="E76:E111" ca="1" si="17">C76-D76*B76</f>
        <v>-72.940573518818837</v>
      </c>
      <c r="F76" s="12">
        <f t="shared" ref="F76:F111" ca="1" si="18">J76+F75*EXP(int*dt)</f>
        <v>74.576432169375849</v>
      </c>
      <c r="G76" s="12">
        <f t="shared" ca="1" si="15"/>
        <v>1.6358586505570116</v>
      </c>
      <c r="J76" s="12">
        <f t="shared" ref="J76:J111" ca="1" si="19">(D76-D75)*B76</f>
        <v>5.0541623383203778</v>
      </c>
    </row>
    <row r="77" spans="1:10" x14ac:dyDescent="0.2">
      <c r="A77" s="12">
        <v>0.66</v>
      </c>
      <c r="B77" s="12">
        <f t="shared" ca="1" si="16"/>
        <v>113.07340361614321</v>
      </c>
      <c r="C77" s="12">
        <f t="shared" ca="1" si="13"/>
        <v>15.448989514984845</v>
      </c>
      <c r="D77" s="12">
        <f t="shared" ca="1" si="14"/>
        <v>0.81246886808013052</v>
      </c>
      <c r="E77" s="12">
        <f t="shared" ca="1" si="17"/>
        <v>-76.419630730990761</v>
      </c>
      <c r="F77" s="12">
        <f t="shared" ca="1" si="18"/>
        <v>78.219274285456322</v>
      </c>
      <c r="G77" s="12">
        <f t="shared" ca="1" si="15"/>
        <v>1.7996435544655611</v>
      </c>
      <c r="J77" s="12">
        <f t="shared" ca="1" si="19"/>
        <v>3.6055445763878957</v>
      </c>
    </row>
    <row r="78" spans="1:10" x14ac:dyDescent="0.2">
      <c r="A78" s="12">
        <v>0.67</v>
      </c>
      <c r="B78" s="12">
        <f t="shared" ca="1" si="16"/>
        <v>114.57201318190039</v>
      </c>
      <c r="C78" s="12">
        <f t="shared" ca="1" si="13"/>
        <v>16.731330827501068</v>
      </c>
      <c r="D78" s="12">
        <f t="shared" ca="1" si="14"/>
        <v>0.83428981022366033</v>
      </c>
      <c r="E78" s="12">
        <f t="shared" ca="1" si="17"/>
        <v>-78.854932306969317</v>
      </c>
      <c r="F78" s="12">
        <f t="shared" ca="1" si="18"/>
        <v>80.758462972548088</v>
      </c>
      <c r="G78" s="12">
        <f t="shared" ca="1" si="15"/>
        <v>1.9035306655787707</v>
      </c>
      <c r="J78" s="12">
        <f t="shared" ca="1" si="19"/>
        <v>2.5000692709099828</v>
      </c>
    </row>
    <row r="79" spans="1:10" x14ac:dyDescent="0.2">
      <c r="A79" s="12">
        <v>0.68</v>
      </c>
      <c r="B79" s="12">
        <f t="shared" ca="1" si="16"/>
        <v>114.8590328740169</v>
      </c>
      <c r="C79" s="12">
        <f t="shared" ca="1" si="13"/>
        <v>16.921007498245487</v>
      </c>
      <c r="D79" s="12">
        <f t="shared" ca="1" si="14"/>
        <v>0.84024402295938627</v>
      </c>
      <c r="E79" s="12">
        <f t="shared" ca="1" si="17"/>
        <v>-79.588608357042872</v>
      </c>
      <c r="F79" s="12">
        <f t="shared" ca="1" si="18"/>
        <v>81.482747416876535</v>
      </c>
      <c r="G79" s="12">
        <f t="shared" ca="1" si="15"/>
        <v>1.8941390598336625</v>
      </c>
      <c r="J79" s="12">
        <f t="shared" ca="1" si="19"/>
        <v>0.68389511635163569</v>
      </c>
    </row>
    <row r="80" spans="1:10" x14ac:dyDescent="0.2">
      <c r="A80" s="12">
        <v>0.69</v>
      </c>
      <c r="B80" s="12">
        <f t="shared" ca="1" si="16"/>
        <v>116.63721327389632</v>
      </c>
      <c r="C80" s="12">
        <f t="shared" ca="1" si="13"/>
        <v>18.508031277938954</v>
      </c>
      <c r="D80" s="12">
        <f t="shared" ca="1" si="14"/>
        <v>0.863827159740165</v>
      </c>
      <c r="E80" s="12">
        <f t="shared" ca="1" si="17"/>
        <v>-82.24636138445878</v>
      </c>
      <c r="F80" s="12">
        <f t="shared" ca="1" si="18"/>
        <v>84.274170331993318</v>
      </c>
      <c r="G80" s="12">
        <f t="shared" ca="1" si="15"/>
        <v>2.0278089475345382</v>
      </c>
      <c r="J80" s="12">
        <f t="shared" ca="1" si="19"/>
        <v>2.7506713543671566</v>
      </c>
    </row>
    <row r="81" spans="1:10" x14ac:dyDescent="0.2">
      <c r="A81" s="12">
        <v>0.7</v>
      </c>
      <c r="B81" s="12">
        <f t="shared" ca="1" si="16"/>
        <v>119.47075468377413</v>
      </c>
      <c r="C81" s="12">
        <f t="shared" ca="1" si="13"/>
        <v>21.146413907171947</v>
      </c>
      <c r="D81" s="12">
        <f t="shared" ca="1" si="14"/>
        <v>0.89546353199566597</v>
      </c>
      <c r="E81" s="12">
        <f t="shared" ca="1" si="17"/>
        <v>-85.835290052148196</v>
      </c>
      <c r="F81" s="12">
        <f t="shared" ca="1" si="18"/>
        <v>88.095939222008042</v>
      </c>
      <c r="G81" s="12">
        <f t="shared" ca="1" si="15"/>
        <v>2.2606491698598461</v>
      </c>
      <c r="J81" s="12">
        <f t="shared" ca="1" si="19"/>
        <v>3.7796212688215154</v>
      </c>
    </row>
    <row r="82" spans="1:10" x14ac:dyDescent="0.2">
      <c r="A82" s="12">
        <v>0.71</v>
      </c>
      <c r="B82" s="12">
        <f t="shared" ca="1" si="16"/>
        <v>123.65373874345464</v>
      </c>
      <c r="C82" s="12">
        <f t="shared" ca="1" si="13"/>
        <v>25.168848913710164</v>
      </c>
      <c r="D82" s="12">
        <f t="shared" ca="1" si="14"/>
        <v>0.93119193574865666</v>
      </c>
      <c r="E82" s="12">
        <f t="shared" ca="1" si="17"/>
        <v>-89.976515429366032</v>
      </c>
      <c r="F82" s="12">
        <f t="shared" ca="1" si="18"/>
        <v>92.557948908839975</v>
      </c>
      <c r="G82" s="12">
        <f t="shared" ca="1" si="15"/>
        <v>2.5814334794739437</v>
      </c>
      <c r="J82" s="12">
        <f t="shared" ca="1" si="19"/>
        <v>4.4179507033929752</v>
      </c>
    </row>
    <row r="83" spans="1:10" x14ac:dyDescent="0.2">
      <c r="A83" s="12">
        <v>0.72</v>
      </c>
      <c r="B83" s="12">
        <f t="shared" ca="1" si="16"/>
        <v>123.60527322828048</v>
      </c>
      <c r="C83" s="12">
        <f t="shared" ca="1" si="13"/>
        <v>25.064062320361899</v>
      </c>
      <c r="D83" s="12">
        <f t="shared" ca="1" si="14"/>
        <v>0.93352290088889889</v>
      </c>
      <c r="E83" s="12">
        <f t="shared" ca="1" si="17"/>
        <v>-90.324290908867454</v>
      </c>
      <c r="F83" s="12">
        <f t="shared" ca="1" si="18"/>
        <v>92.892359038011776</v>
      </c>
      <c r="G83" s="12">
        <f t="shared" ca="1" si="15"/>
        <v>2.5680681291443221</v>
      </c>
      <c r="J83" s="12">
        <f t="shared" ca="1" si="19"/>
        <v>0.28811958304523733</v>
      </c>
    </row>
    <row r="84" spans="1:10" x14ac:dyDescent="0.2">
      <c r="A84" s="12">
        <v>0.73</v>
      </c>
      <c r="B84" s="12">
        <f t="shared" ca="1" si="16"/>
        <v>122.41333309566721</v>
      </c>
      <c r="C84" s="12">
        <f t="shared" ca="1" si="13"/>
        <v>23.833117304012362</v>
      </c>
      <c r="D84" s="12">
        <f t="shared" ca="1" si="14"/>
        <v>0.92811165585341648</v>
      </c>
      <c r="E84" s="12">
        <f t="shared" ca="1" si="17"/>
        <v>-89.780123973943162</v>
      </c>
      <c r="F84" s="12">
        <f t="shared" ca="1" si="18"/>
        <v>92.27640829002037</v>
      </c>
      <c r="G84" s="12">
        <f t="shared" ca="1" si="15"/>
        <v>2.4962843160772081</v>
      </c>
      <c r="J84" s="12">
        <f t="shared" ca="1" si="19"/>
        <v>-0.66240854099078306</v>
      </c>
    </row>
    <row r="85" spans="1:10" x14ac:dyDescent="0.2">
      <c r="A85" s="12">
        <v>0.74</v>
      </c>
      <c r="B85" s="12">
        <f t="shared" ca="1" si="16"/>
        <v>118.91481404473173</v>
      </c>
      <c r="C85" s="12">
        <f t="shared" ca="1" si="13"/>
        <v>20.353874729409512</v>
      </c>
      <c r="D85" s="12">
        <f t="shared" ca="1" si="14"/>
        <v>0.90215961937264921</v>
      </c>
      <c r="E85" s="12">
        <f t="shared" ca="1" si="17"/>
        <v>-86.926268646955023</v>
      </c>
      <c r="F85" s="12">
        <f t="shared" ca="1" si="18"/>
        <v>89.236476438446545</v>
      </c>
      <c r="G85" s="12">
        <f t="shared" ca="1" si="15"/>
        <v>2.3102077914915213</v>
      </c>
      <c r="J85" s="12">
        <f t="shared" ca="1" si="19"/>
        <v>-3.0860815921925342</v>
      </c>
    </row>
    <row r="86" spans="1:10" x14ac:dyDescent="0.2">
      <c r="A86" s="12">
        <v>0.75</v>
      </c>
      <c r="B86" s="12">
        <f t="shared" ca="1" si="16"/>
        <v>122.66677734801048</v>
      </c>
      <c r="C86" s="12">
        <f t="shared" ca="1" si="13"/>
        <v>23.967825887279616</v>
      </c>
      <c r="D86" s="12">
        <f t="shared" ca="1" si="14"/>
        <v>0.9357875112599634</v>
      </c>
      <c r="E86" s="12">
        <f t="shared" ca="1" si="17"/>
        <v>-90.822212401495165</v>
      </c>
      <c r="F86" s="12">
        <f t="shared" ca="1" si="18"/>
        <v>93.406130959908779</v>
      </c>
      <c r="G86" s="12">
        <f t="shared" ca="1" si="15"/>
        <v>2.5839185584136146</v>
      </c>
      <c r="J86" s="12">
        <f t="shared" ca="1" si="19"/>
        <v>4.1250251268241378</v>
      </c>
    </row>
    <row r="87" spans="1:10" x14ac:dyDescent="0.2">
      <c r="A87" s="12">
        <v>0.76</v>
      </c>
      <c r="B87" s="12">
        <f t="shared" ca="1" si="16"/>
        <v>124.19076122920322</v>
      </c>
      <c r="C87" s="12">
        <f t="shared" ca="1" si="13"/>
        <v>25.419548766856707</v>
      </c>
      <c r="D87" s="12">
        <f t="shared" ca="1" si="14"/>
        <v>0.94836903945380513</v>
      </c>
      <c r="E87" s="12">
        <f t="shared" ca="1" si="17"/>
        <v>-92.35912416911961</v>
      </c>
      <c r="F87" s="12">
        <f t="shared" ca="1" si="18"/>
        <v>95.01535526692119</v>
      </c>
      <c r="G87" s="12">
        <f t="shared" ca="1" si="15"/>
        <v>2.6562310978015802</v>
      </c>
      <c r="J87" s="12">
        <f t="shared" ca="1" si="19"/>
        <v>1.5625095638198865</v>
      </c>
    </row>
    <row r="88" spans="1:10" x14ac:dyDescent="0.2">
      <c r="A88" s="12">
        <v>0.77</v>
      </c>
      <c r="B88" s="12">
        <f t="shared" ca="1" si="16"/>
        <v>120.84285891558304</v>
      </c>
      <c r="C88" s="12">
        <f t="shared" ca="1" si="13"/>
        <v>22.055208252266567</v>
      </c>
      <c r="D88" s="12">
        <f t="shared" ca="1" si="14"/>
        <v>0.92891235903227876</v>
      </c>
      <c r="E88" s="12">
        <f t="shared" ca="1" si="17"/>
        <v>-90.197216895212506</v>
      </c>
      <c r="F88" s="12">
        <f t="shared" ca="1" si="18"/>
        <v>92.71167393630968</v>
      </c>
      <c r="G88" s="12">
        <f t="shared" ca="1" si="15"/>
        <v>2.5144570410971738</v>
      </c>
      <c r="J88" s="12">
        <f t="shared" ca="1" si="19"/>
        <v>-2.3512008871440981</v>
      </c>
    </row>
    <row r="89" spans="1:10" x14ac:dyDescent="0.2">
      <c r="A89" s="12">
        <v>0.78</v>
      </c>
      <c r="B89" s="12">
        <f t="shared" ca="1" si="16"/>
        <v>118.00896683745165</v>
      </c>
      <c r="C89" s="12">
        <f t="shared" ca="1" si="13"/>
        <v>19.220081967571915</v>
      </c>
      <c r="D89" s="12">
        <f t="shared" ca="1" si="14"/>
        <v>0.90746903258630107</v>
      </c>
      <c r="E89" s="12">
        <f t="shared" ca="1" si="17"/>
        <v>-87.869401004919226</v>
      </c>
      <c r="F89" s="12">
        <f t="shared" ca="1" si="18"/>
        <v>90.227536564720779</v>
      </c>
      <c r="G89" s="12">
        <f t="shared" ca="1" si="15"/>
        <v>2.3581355598015534</v>
      </c>
      <c r="J89" s="12">
        <f t="shared" ca="1" si="19"/>
        <v>-2.5305047994480305</v>
      </c>
    </row>
    <row r="90" spans="1:10" x14ac:dyDescent="0.2">
      <c r="A90" s="12">
        <v>0.79</v>
      </c>
      <c r="B90" s="12">
        <f t="shared" ca="1" si="16"/>
        <v>112.21808203837931</v>
      </c>
      <c r="C90" s="12">
        <f t="shared" ca="1" si="13"/>
        <v>13.638617371620569</v>
      </c>
      <c r="D90" s="12">
        <f t="shared" ca="1" si="14"/>
        <v>0.83734622946878157</v>
      </c>
      <c r="E90" s="12">
        <f t="shared" ca="1" si="17"/>
        <v>-80.326770501434751</v>
      </c>
      <c r="F90" s="12">
        <f t="shared" ca="1" si="18"/>
        <v>82.403615140322259</v>
      </c>
      <c r="G90" s="12">
        <f t="shared" ca="1" si="15"/>
        <v>2.0768446388875077</v>
      </c>
      <c r="J90" s="12">
        <f t="shared" ca="1" si="19"/>
        <v>-7.8690464730029239</v>
      </c>
    </row>
    <row r="91" spans="1:10" x14ac:dyDescent="0.2">
      <c r="A91" s="12">
        <v>0.8</v>
      </c>
      <c r="B91" s="12">
        <f t="shared" ca="1" si="16"/>
        <v>113.02698748135332</v>
      </c>
      <c r="C91" s="12">
        <f t="shared" ca="1" si="13"/>
        <v>14.311380518754532</v>
      </c>
      <c r="D91" s="12">
        <f t="shared" ca="1" si="14"/>
        <v>0.85413953325273551</v>
      </c>
      <c r="E91" s="12">
        <f t="shared" ca="1" si="17"/>
        <v>-82.229437813531362</v>
      </c>
      <c r="F91" s="12">
        <f t="shared" ca="1" si="18"/>
        <v>84.342923786620787</v>
      </c>
      <c r="G91" s="12">
        <f t="shared" ca="1" si="15"/>
        <v>2.1134859730894249</v>
      </c>
      <c r="J91" s="12">
        <f t="shared" ca="1" si="19"/>
        <v>1.898096536559525</v>
      </c>
    </row>
    <row r="92" spans="1:10" x14ac:dyDescent="0.2">
      <c r="A92" s="12">
        <v>0.8100000000000005</v>
      </c>
      <c r="B92" s="12">
        <f t="shared" ca="1" si="16"/>
        <v>113.0963432598199</v>
      </c>
      <c r="C92" s="12">
        <f t="shared" ca="1" si="13"/>
        <v>14.299592624502978</v>
      </c>
      <c r="D92" s="12">
        <f t="shared" ca="1" si="14"/>
        <v>0.85974411808329199</v>
      </c>
      <c r="E92" s="12">
        <f t="shared" ca="1" si="17"/>
        <v>-82.934323269856151</v>
      </c>
      <c r="F92" s="12">
        <f t="shared" ca="1" si="18"/>
        <v>85.018963842962322</v>
      </c>
      <c r="G92" s="12">
        <f t="shared" ca="1" si="15"/>
        <v>2.0846405731061708</v>
      </c>
      <c r="J92" s="12">
        <f t="shared" ca="1" si="19"/>
        <v>0.63385804982539529</v>
      </c>
    </row>
    <row r="93" spans="1:10" x14ac:dyDescent="0.2">
      <c r="A93" s="12">
        <v>0.82000000000000051</v>
      </c>
      <c r="B93" s="12">
        <f t="shared" ca="1" si="16"/>
        <v>117.43328620242681</v>
      </c>
      <c r="C93" s="12">
        <f t="shared" ca="1" si="13"/>
        <v>18.406930995139106</v>
      </c>
      <c r="D93" s="12">
        <f t="shared" ca="1" si="14"/>
        <v>0.91878269206675478</v>
      </c>
      <c r="E93" s="12">
        <f t="shared" ca="1" si="17"/>
        <v>-89.488739840172286</v>
      </c>
      <c r="F93" s="12">
        <f t="shared" ca="1" si="18"/>
        <v>91.994577709608862</v>
      </c>
      <c r="G93" s="12">
        <f t="shared" ca="1" si="15"/>
        <v>2.5058378694365757</v>
      </c>
      <c r="J93" s="12">
        <f t="shared" ca="1" si="19"/>
        <v>6.933093755583136</v>
      </c>
    </row>
    <row r="94" spans="1:10" x14ac:dyDescent="0.2">
      <c r="A94" s="12">
        <v>0.83000000000000052</v>
      </c>
      <c r="B94" s="12">
        <f t="shared" ca="1" si="16"/>
        <v>120.94779247445962</v>
      </c>
      <c r="C94" s="12">
        <f t="shared" ca="1" si="13"/>
        <v>21.818047304605642</v>
      </c>
      <c r="D94" s="12">
        <f t="shared" ca="1" si="14"/>
        <v>0.95235707708779471</v>
      </c>
      <c r="E94" s="12">
        <f t="shared" ca="1" si="17"/>
        <v>-93.3674388165919</v>
      </c>
      <c r="F94" s="12">
        <f t="shared" ca="1" si="18"/>
        <v>96.101334251685017</v>
      </c>
      <c r="G94" s="12">
        <f t="shared" ca="1" si="15"/>
        <v>2.7338954350931175</v>
      </c>
      <c r="J94" s="12">
        <f t="shared" ca="1" si="19"/>
        <v>4.0607477519823432</v>
      </c>
    </row>
    <row r="95" spans="1:10" x14ac:dyDescent="0.2">
      <c r="A95" s="12">
        <v>0.84000000000000052</v>
      </c>
      <c r="B95" s="12">
        <f t="shared" ca="1" si="16"/>
        <v>116.0846589302281</v>
      </c>
      <c r="C95" s="12">
        <f t="shared" ca="1" si="13"/>
        <v>16.961571556138281</v>
      </c>
      <c r="D95" s="12">
        <f t="shared" ca="1" si="14"/>
        <v>0.9145908631987244</v>
      </c>
      <c r="E95" s="12">
        <f t="shared" ca="1" si="17"/>
        <v>-89.20839685898855</v>
      </c>
      <c r="F95" s="12">
        <f t="shared" ca="1" si="18"/>
        <v>91.765318875081221</v>
      </c>
      <c r="G95" s="12">
        <f t="shared" ca="1" si="15"/>
        <v>2.5569220160926704</v>
      </c>
      <c r="J95" s="12">
        <f t="shared" ca="1" si="19"/>
        <v>-4.38407805839877</v>
      </c>
    </row>
    <row r="96" spans="1:10" x14ac:dyDescent="0.2">
      <c r="A96" s="12">
        <v>0.85000000000000053</v>
      </c>
      <c r="B96" s="12">
        <f t="shared" ca="1" si="16"/>
        <v>116.42483121129922</v>
      </c>
      <c r="C96" s="12">
        <f t="shared" ca="1" si="13"/>
        <v>17.232082679454933</v>
      </c>
      <c r="D96" s="12">
        <f t="shared" ca="1" si="14"/>
        <v>0.92385694308240396</v>
      </c>
      <c r="E96" s="12">
        <f t="shared" ca="1" si="17"/>
        <v>-90.327805982300816</v>
      </c>
      <c r="F96" s="12">
        <f t="shared" ca="1" si="18"/>
        <v>92.890014793543443</v>
      </c>
      <c r="G96" s="12">
        <f t="shared" ca="1" si="15"/>
        <v>2.5622088112426269</v>
      </c>
      <c r="J96" s="12">
        <f t="shared" ca="1" si="19"/>
        <v>1.0788017864478074</v>
      </c>
    </row>
    <row r="97" spans="1:10" x14ac:dyDescent="0.2">
      <c r="A97" s="12">
        <v>0.86000000000000054</v>
      </c>
      <c r="B97" s="12">
        <f t="shared" ca="1" si="16"/>
        <v>107.73548131141776</v>
      </c>
      <c r="C97" s="12">
        <f t="shared" ca="1" si="13"/>
        <v>8.9753488239952333</v>
      </c>
      <c r="D97" s="12">
        <f t="shared" ca="1" si="14"/>
        <v>0.7829700159716394</v>
      </c>
      <c r="E97" s="12">
        <f t="shared" ca="1" si="17"/>
        <v>-75.378302699117782</v>
      </c>
      <c r="F97" s="12">
        <f t="shared" ca="1" si="18"/>
        <v>77.757950511362665</v>
      </c>
      <c r="G97" s="12">
        <f t="shared" ca="1" si="15"/>
        <v>2.3796478122448832</v>
      </c>
      <c r="J97" s="12">
        <f t="shared" ca="1" si="19"/>
        <v>-15.17852090276485</v>
      </c>
    </row>
    <row r="98" spans="1:10" x14ac:dyDescent="0.2">
      <c r="A98" s="12">
        <v>0.87000000000000055</v>
      </c>
      <c r="B98" s="12">
        <f t="shared" ca="1" si="16"/>
        <v>113.62152073691939</v>
      </c>
      <c r="C98" s="12">
        <f t="shared" ca="1" si="13"/>
        <v>14.363020681891683</v>
      </c>
      <c r="D98" s="12">
        <f t="shared" ca="1" si="14"/>
        <v>0.90230326325625476</v>
      </c>
      <c r="E98" s="12">
        <f t="shared" ca="1" si="17"/>
        <v>-88.158048255168907</v>
      </c>
      <c r="F98" s="12">
        <f t="shared" ca="1" si="18"/>
        <v>91.355664238935177</v>
      </c>
      <c r="G98" s="12">
        <f t="shared" ca="1" si="15"/>
        <v>3.1976159837662692</v>
      </c>
      <c r="J98" s="12">
        <f t="shared" ca="1" si="19"/>
        <v>13.558825030952855</v>
      </c>
    </row>
    <row r="99" spans="1:10" x14ac:dyDescent="0.2">
      <c r="A99" s="12">
        <v>0.88000000000000056</v>
      </c>
      <c r="B99" s="12">
        <f t="shared" ca="1" si="16"/>
        <v>110.48918341269002</v>
      </c>
      <c r="C99" s="12">
        <f t="shared" ca="1" si="13"/>
        <v>11.28763755520518</v>
      </c>
      <c r="D99" s="12">
        <f t="shared" ca="1" si="14"/>
        <v>0.85758152835344692</v>
      </c>
      <c r="E99" s="12">
        <f t="shared" ca="1" si="17"/>
        <v>-83.465845222373844</v>
      </c>
      <c r="F99" s="12">
        <f t="shared" ca="1" si="18"/>
        <v>86.460085522206114</v>
      </c>
      <c r="G99" s="12">
        <f t="shared" ca="1" si="15"/>
        <v>2.9942402998322706</v>
      </c>
      <c r="J99" s="12">
        <f t="shared" ca="1" si="19"/>
        <v>-4.9412679702100366</v>
      </c>
    </row>
    <row r="100" spans="1:10" x14ac:dyDescent="0.2">
      <c r="A100" s="12">
        <v>0.89000000000000057</v>
      </c>
      <c r="B100" s="12">
        <f t="shared" ca="1" si="16"/>
        <v>109.48110775350617</v>
      </c>
      <c r="C100" s="12">
        <f t="shared" ca="1" si="13"/>
        <v>10.257397224899449</v>
      </c>
      <c r="D100" s="12">
        <f t="shared" ca="1" si="14"/>
        <v>0.84504428717117241</v>
      </c>
      <c r="E100" s="12">
        <f t="shared" ca="1" si="17"/>
        <v>-82.258987435372489</v>
      </c>
      <c r="F100" s="12">
        <f t="shared" ca="1" si="18"/>
        <v>85.130735321471093</v>
      </c>
      <c r="G100" s="12">
        <f t="shared" ca="1" si="15"/>
        <v>2.8717478860986034</v>
      </c>
      <c r="J100" s="12">
        <f t="shared" ca="1" si="19"/>
        <v>-1.3725910528082901</v>
      </c>
    </row>
    <row r="101" spans="1:10" x14ac:dyDescent="0.2">
      <c r="A101" s="12">
        <v>0.90000000000000058</v>
      </c>
      <c r="B101" s="12">
        <f t="shared" ca="1" si="16"/>
        <v>107.71809813340882</v>
      </c>
      <c r="C101" s="12">
        <f t="shared" ca="1" si="13"/>
        <v>8.5448002729960848</v>
      </c>
      <c r="D101" s="12">
        <f t="shared" ca="1" si="14"/>
        <v>0.81160590198060767</v>
      </c>
      <c r="E101" s="12">
        <f t="shared" ca="1" si="17"/>
        <v>-78.879843922204785</v>
      </c>
      <c r="F101" s="12">
        <f t="shared" ca="1" si="18"/>
        <v>81.571392074867546</v>
      </c>
      <c r="G101" s="12">
        <f t="shared" ca="1" si="15"/>
        <v>2.6915481526627616</v>
      </c>
      <c r="J101" s="12">
        <f t="shared" ca="1" si="19"/>
        <v>-3.6019192573799774</v>
      </c>
    </row>
    <row r="102" spans="1:10" x14ac:dyDescent="0.2">
      <c r="A102" s="12">
        <v>0.91000000000000059</v>
      </c>
      <c r="B102" s="12">
        <f t="shared" ca="1" si="16"/>
        <v>108.24832624871941</v>
      </c>
      <c r="C102" s="12">
        <f t="shared" ca="1" si="13"/>
        <v>8.9276695757122582</v>
      </c>
      <c r="D102" s="12">
        <f t="shared" ca="1" si="14"/>
        <v>0.83537888244876768</v>
      </c>
      <c r="E102" s="12">
        <f t="shared" ca="1" si="17"/>
        <v>-81.500696232892565</v>
      </c>
      <c r="F102" s="12">
        <f t="shared" ca="1" si="18"/>
        <v>84.185573314650412</v>
      </c>
      <c r="G102" s="12">
        <f t="shared" ca="1" si="15"/>
        <v>2.6848770817578469</v>
      </c>
      <c r="J102" s="12">
        <f t="shared" ca="1" si="19"/>
        <v>2.5733853456218192</v>
      </c>
    </row>
    <row r="103" spans="1:10" x14ac:dyDescent="0.2">
      <c r="A103" s="12">
        <v>0.9200000000000006</v>
      </c>
      <c r="B103" s="12">
        <f t="shared" ca="1" si="16"/>
        <v>105.76175012608161</v>
      </c>
      <c r="C103" s="12">
        <f t="shared" ca="1" si="13"/>
        <v>6.5909386448038703</v>
      </c>
      <c r="D103" s="12">
        <f t="shared" ca="1" si="14"/>
        <v>0.77329863753166117</v>
      </c>
      <c r="E103" s="12">
        <f t="shared" ca="1" si="17"/>
        <v>-75.194478630659034</v>
      </c>
      <c r="F103" s="12">
        <f t="shared" ca="1" si="18"/>
        <v>77.661961275569524</v>
      </c>
      <c r="G103" s="12">
        <f t="shared" ca="1" si="15"/>
        <v>2.4674826449104899</v>
      </c>
      <c r="J103" s="12">
        <f t="shared" ca="1" si="19"/>
        <v>-6.5657153506889667</v>
      </c>
    </row>
    <row r="104" spans="1:10" x14ac:dyDescent="0.2">
      <c r="A104" s="12">
        <v>0.9300000000000006</v>
      </c>
      <c r="B104" s="12">
        <f t="shared" ca="1" si="16"/>
        <v>106.68129637323298</v>
      </c>
      <c r="C104" s="12">
        <f t="shared" ca="1" si="13"/>
        <v>7.2852071230798572</v>
      </c>
      <c r="D104" s="12">
        <f t="shared" ca="1" si="14"/>
        <v>0.81557219292348815</v>
      </c>
      <c r="E104" s="12">
        <f t="shared" ca="1" si="17"/>
        <v>-79.721091703958322</v>
      </c>
      <c r="F104" s="12">
        <f t="shared" ca="1" si="18"/>
        <v>82.210599657076401</v>
      </c>
      <c r="G104" s="12">
        <f t="shared" ca="1" si="15"/>
        <v>2.4895079531180784</v>
      </c>
      <c r="J104" s="12">
        <f t="shared" ca="1" si="19"/>
        <v>4.5097976915057751</v>
      </c>
    </row>
    <row r="105" spans="1:10" x14ac:dyDescent="0.2">
      <c r="A105" s="12">
        <v>0.94000000000000061</v>
      </c>
      <c r="B105" s="12">
        <f t="shared" ca="1" si="16"/>
        <v>111.27054494315688</v>
      </c>
      <c r="C105" s="12">
        <f t="shared" ca="1" si="13"/>
        <v>11.592503109384637</v>
      </c>
      <c r="D105" s="12">
        <f t="shared" ca="1" si="14"/>
        <v>0.9370973359521676</v>
      </c>
      <c r="E105" s="12">
        <f t="shared" ca="1" si="17"/>
        <v>-92.678828126793604</v>
      </c>
      <c r="F105" s="12">
        <f t="shared" ca="1" si="18"/>
        <v>95.773884124039071</v>
      </c>
      <c r="G105" s="12">
        <f t="shared" ca="1" si="15"/>
        <v>3.095055997245467</v>
      </c>
      <c r="J105" s="12">
        <f t="shared" ca="1" si="19"/>
        <v>13.522168889096244</v>
      </c>
    </row>
    <row r="106" spans="1:10" x14ac:dyDescent="0.2">
      <c r="A106" s="12">
        <v>0.95000000000000062</v>
      </c>
      <c r="B106" s="12">
        <f t="shared" ca="1" si="16"/>
        <v>113.30157265803022</v>
      </c>
      <c r="C106" s="12">
        <f t="shared" ca="1" si="13"/>
        <v>13.554331568619048</v>
      </c>
      <c r="D106" s="12">
        <f t="shared" ca="1" si="14"/>
        <v>0.97334823631762224</v>
      </c>
      <c r="E106" s="12">
        <f t="shared" ca="1" si="17"/>
        <v>-96.727554350087601</v>
      </c>
      <c r="F106" s="12">
        <f t="shared" ca="1" si="18"/>
        <v>99.929067061507709</v>
      </c>
      <c r="G106" s="12">
        <f t="shared" ca="1" si="15"/>
        <v>3.2015127114201078</v>
      </c>
      <c r="J106" s="12">
        <f t="shared" ca="1" si="19"/>
        <v>4.1072840216755733</v>
      </c>
    </row>
    <row r="107" spans="1:10" x14ac:dyDescent="0.2">
      <c r="A107" s="12">
        <v>0.96000000000000063</v>
      </c>
      <c r="B107" s="12">
        <f t="shared" ca="1" si="16"/>
        <v>114.43477676874981</v>
      </c>
      <c r="C107" s="12">
        <f ca="1">CallOption(B107,Vi,0,int,E,T-A107)</f>
        <v>14.634917922204195</v>
      </c>
      <c r="D107" s="12">
        <f t="shared" ca="1" si="14"/>
        <v>0.98957201231551639</v>
      </c>
      <c r="E107" s="12">
        <f t="shared" ca="1" si="17"/>
        <v>-98.606534403724467</v>
      </c>
      <c r="F107" s="12">
        <f t="shared" ca="1" si="18"/>
        <v>101.83560827291917</v>
      </c>
      <c r="G107" s="12">
        <f t="shared" ref="G107:G111" ca="1" si="20">F107+E107</f>
        <v>3.229073869194707</v>
      </c>
      <c r="J107" s="12">
        <f t="shared" ca="1" si="19"/>
        <v>1.8565641846652186</v>
      </c>
    </row>
    <row r="108" spans="1:10" x14ac:dyDescent="0.2">
      <c r="A108" s="12">
        <v>0.97000000000000064</v>
      </c>
      <c r="B108" s="12">
        <f t="shared" ca="1" si="16"/>
        <v>113.24154108554832</v>
      </c>
      <c r="C108" s="12">
        <f ca="1">CallOption(B108,Vi,0,int,E,T-A108)</f>
        <v>13.391554285894742</v>
      </c>
      <c r="D108" s="12">
        <f t="shared" ca="1" si="14"/>
        <v>0.99281782488247516</v>
      </c>
      <c r="E108" s="12">
        <f t="shared" ca="1" si="17"/>
        <v>-99.036666220998782</v>
      </c>
      <c r="F108" s="12">
        <f t="shared" ca="1" si="18"/>
        <v>102.25409962578576</v>
      </c>
      <c r="G108" s="12">
        <f t="shared" ca="1" si="20"/>
        <v>3.2174334047869735</v>
      </c>
      <c r="J108" s="12">
        <f t="shared" ca="1" si="19"/>
        <v>0.36756081715725086</v>
      </c>
    </row>
    <row r="109" spans="1:10" x14ac:dyDescent="0.2">
      <c r="A109" s="12">
        <v>0.98000000000000065</v>
      </c>
      <c r="B109" s="12">
        <f t="shared" ca="1" si="16"/>
        <v>116.751888083152</v>
      </c>
      <c r="C109" s="12">
        <f ca="1">CallOption(B109,Vi,0,int,E,T-A109)</f>
        <v>16.851838109039662</v>
      </c>
      <c r="D109" s="12">
        <f t="shared" ca="1" si="14"/>
        <v>0.99989018192901202</v>
      </c>
      <c r="E109" s="12">
        <f t="shared" ca="1" si="17"/>
        <v>-99.887228506978843</v>
      </c>
      <c r="F109" s="12">
        <f t="shared" ca="1" si="18"/>
        <v>103.13095049787302</v>
      </c>
      <c r="G109" s="12">
        <f t="shared" ca="1" si="20"/>
        <v>3.2437219908941728</v>
      </c>
      <c r="J109" s="12">
        <f t="shared" ca="1" si="19"/>
        <v>0.82571103838136273</v>
      </c>
    </row>
    <row r="110" spans="1:10" x14ac:dyDescent="0.2">
      <c r="A110" s="12">
        <v>0.99000000000000066</v>
      </c>
      <c r="B110" s="12">
        <f t="shared" ca="1" si="16"/>
        <v>115.2006266929762</v>
      </c>
      <c r="C110" s="12">
        <f ca="1">CallOption(B110,Vi,0,int,E,T-A110)</f>
        <v>15.250614195059455</v>
      </c>
      <c r="D110" s="12">
        <f t="shared" ca="1" si="14"/>
        <v>0.99999897409344451</v>
      </c>
      <c r="E110" s="12">
        <f t="shared" ca="1" si="17"/>
        <v>-99.949894312838623</v>
      </c>
      <c r="F110" s="12">
        <f t="shared" ca="1" si="18"/>
        <v>103.1950617921615</v>
      </c>
      <c r="G110" s="12">
        <f t="shared" ca="1" si="20"/>
        <v>3.2451674793228733</v>
      </c>
      <c r="J110" s="12">
        <f t="shared" ca="1" si="19"/>
        <v>1.2532925521908376E-2</v>
      </c>
    </row>
    <row r="111" spans="1:10" x14ac:dyDescent="0.2">
      <c r="A111" s="12">
        <v>1</v>
      </c>
      <c r="B111" s="12">
        <f t="shared" ca="1" si="16"/>
        <v>123.79709334885246</v>
      </c>
      <c r="C111" s="12">
        <f ca="1">MAX(B111-E,0)</f>
        <v>23.797093348852457</v>
      </c>
      <c r="D111" s="12">
        <f ca="1">IF(B111&gt;E,1,0)</f>
        <v>1</v>
      </c>
      <c r="E111" s="12">
        <f t="shared" ca="1" si="17"/>
        <v>-100</v>
      </c>
      <c r="F111" s="12">
        <f t="shared" ca="1" si="18"/>
        <v>103.24679922884008</v>
      </c>
      <c r="G111" s="12">
        <f t="shared" ca="1" si="20"/>
        <v>3.2467992288400751</v>
      </c>
      <c r="J111" s="12">
        <f t="shared" ca="1" si="19"/>
        <v>1.2700424961659837E-4</v>
      </c>
    </row>
  </sheetData>
  <phoneticPr fontId="4" type="noConversion"/>
  <dataValidations disablePrompts="1" count="1">
    <dataValidation type="list" allowBlank="1" showInputMessage="1" showErrorMessage="1" sqref="E6">
      <formula1>$E$1:$E$2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103"/>
  <sheetViews>
    <sheetView workbookViewId="0">
      <selection activeCell="K7" sqref="K7"/>
    </sheetView>
  </sheetViews>
  <sheetFormatPr defaultRowHeight="12.75" x14ac:dyDescent="0.2"/>
  <cols>
    <col min="1" max="1" width="15.42578125" style="1" bestFit="1" customWidth="1"/>
    <col min="2" max="2" width="12.5703125" style="1" customWidth="1"/>
    <col min="3" max="3" width="9.85546875" style="1" bestFit="1" customWidth="1"/>
    <col min="4" max="9" width="9.140625" style="1"/>
    <col min="10" max="10" width="11.85546875" style="1" bestFit="1" customWidth="1"/>
    <col min="11" max="11" width="10.7109375" style="1" bestFit="1" customWidth="1"/>
    <col min="12" max="12" width="10.140625" style="1" customWidth="1"/>
    <col min="13" max="13" width="11.7109375" style="1" bestFit="1" customWidth="1"/>
    <col min="14" max="14" width="11.7109375" style="1" customWidth="1"/>
    <col min="15" max="15" width="10.85546875" style="1" customWidth="1"/>
    <col min="16" max="16" width="9.140625" style="1"/>
    <col min="17" max="17" width="10.28515625" style="1" customWidth="1"/>
    <col min="18" max="18" width="9.140625" style="1"/>
    <col min="19" max="19" width="10.28515625" style="1" customWidth="1"/>
    <col min="20" max="16384" width="9.140625" style="1"/>
  </cols>
  <sheetData>
    <row r="1" spans="1:22" ht="12.75" customHeight="1" x14ac:dyDescent="0.2">
      <c r="A1" s="2" t="s">
        <v>0</v>
      </c>
      <c r="B1" s="3">
        <v>0.05</v>
      </c>
      <c r="K1" s="2" t="s">
        <v>3</v>
      </c>
      <c r="L1" s="2" t="s">
        <v>12</v>
      </c>
      <c r="M1" s="25" t="s">
        <v>52</v>
      </c>
      <c r="N1" s="2" t="s">
        <v>17</v>
      </c>
      <c r="O1" s="2" t="s">
        <v>13</v>
      </c>
      <c r="P1" s="2" t="s">
        <v>14</v>
      </c>
      <c r="Q1" s="2" t="s">
        <v>15</v>
      </c>
      <c r="R1" s="2" t="s">
        <v>16</v>
      </c>
      <c r="S1" s="34" t="s">
        <v>48</v>
      </c>
      <c r="T1" s="34"/>
      <c r="U1" s="34"/>
      <c r="V1" s="26"/>
    </row>
    <row r="2" spans="1:22" x14ac:dyDescent="0.2">
      <c r="A2" s="2" t="s">
        <v>2</v>
      </c>
      <c r="B2" s="3">
        <v>0.2</v>
      </c>
      <c r="C2" s="30" t="s">
        <v>55</v>
      </c>
      <c r="J2" s="1">
        <v>0</v>
      </c>
      <c r="K2" s="4">
        <f t="array" ref="K2:M102">OneOptionPricing(B3,B2,B1,A9,B9,C9,B5,F9)</f>
        <v>0</v>
      </c>
      <c r="L2" s="4">
        <v>0</v>
      </c>
      <c r="M2" s="5">
        <v>0</v>
      </c>
      <c r="N2" s="5">
        <v>0</v>
      </c>
      <c r="O2" s="6">
        <v>0</v>
      </c>
      <c r="P2" s="6">
        <v>0</v>
      </c>
      <c r="Q2" s="6">
        <v>0</v>
      </c>
      <c r="R2" s="6">
        <v>0</v>
      </c>
      <c r="S2" s="34"/>
      <c r="T2" s="34"/>
      <c r="U2" s="34"/>
      <c r="V2" s="26"/>
    </row>
    <row r="3" spans="1:22" x14ac:dyDescent="0.2">
      <c r="A3" s="2" t="s">
        <v>1</v>
      </c>
      <c r="B3" s="3">
        <v>0.3</v>
      </c>
      <c r="J3" s="1">
        <v>1</v>
      </c>
      <c r="K3" s="4">
        <v>2</v>
      </c>
      <c r="L3" s="4">
        <v>0</v>
      </c>
      <c r="M3" s="5">
        <v>2.2544624073056298E-40</v>
      </c>
      <c r="N3" s="5">
        <f>CallOption(K3,$B$2,0,$B$1,$B$9,$C$9)</f>
        <v>0</v>
      </c>
      <c r="O3" s="6">
        <v>6.5999928942209183E-41</v>
      </c>
      <c r="P3" s="6">
        <v>8.439180566126974E-30</v>
      </c>
      <c r="Q3" s="6">
        <v>2.8469608456769175E-29</v>
      </c>
      <c r="R3" s="6">
        <v>9.8333276650028909E-42</v>
      </c>
      <c r="S3" s="34"/>
      <c r="T3" s="34"/>
      <c r="U3" s="34"/>
      <c r="V3" s="26"/>
    </row>
    <row r="4" spans="1:22" x14ac:dyDescent="0.2">
      <c r="A4" s="2" t="s">
        <v>3</v>
      </c>
      <c r="B4" s="4">
        <v>100</v>
      </c>
      <c r="J4" s="1">
        <v>2</v>
      </c>
      <c r="K4" s="4">
        <v>4</v>
      </c>
      <c r="L4" s="4">
        <v>0</v>
      </c>
      <c r="M4" s="5">
        <v>4.2958761208341698E-37</v>
      </c>
      <c r="N4" s="5">
        <f t="shared" ref="N4:N67" si="0">CallOption(K4,$B$2,0,$B$1,$B$9,$C$9)</f>
        <v>0</v>
      </c>
      <c r="O4" s="6">
        <v>1.2460186635953301E-37</v>
      </c>
      <c r="P4" s="6">
        <v>9.3311098560869905E-27</v>
      </c>
      <c r="Q4" s="6">
        <v>2.7984028060444071E-26</v>
      </c>
      <c r="R4" s="6">
        <v>2.1246789974367519E-38</v>
      </c>
      <c r="S4" s="34"/>
      <c r="T4" s="34"/>
      <c r="U4" s="34"/>
    </row>
    <row r="5" spans="1:22" x14ac:dyDescent="0.2">
      <c r="A5" s="2" t="s">
        <v>11</v>
      </c>
      <c r="B5" s="4">
        <v>100</v>
      </c>
      <c r="J5" s="1">
        <v>3</v>
      </c>
      <c r="K5" s="4">
        <v>6</v>
      </c>
      <c r="L5" s="4">
        <v>0</v>
      </c>
      <c r="M5" s="5">
        <v>2.7443709690886624E-34</v>
      </c>
      <c r="N5" s="5">
        <f t="shared" si="0"/>
        <v>0</v>
      </c>
      <c r="O5" s="6">
        <v>7.8832618108765562E-35</v>
      </c>
      <c r="P5" s="6">
        <v>3.0024145466304735E-24</v>
      </c>
      <c r="Q5" s="6">
        <v>8.0401872655617652E-24</v>
      </c>
      <c r="R5" s="6">
        <v>1.5324398589953763E-35</v>
      </c>
      <c r="S5" s="34"/>
      <c r="T5" s="34"/>
      <c r="U5" s="34"/>
    </row>
    <row r="6" spans="1:22" x14ac:dyDescent="0.2">
      <c r="J6" s="1">
        <v>4</v>
      </c>
      <c r="K6" s="4">
        <v>8</v>
      </c>
      <c r="L6" s="4">
        <v>0</v>
      </c>
      <c r="M6" s="5">
        <v>8.6558074255347441E-32</v>
      </c>
      <c r="N6" s="5">
        <f t="shared" si="0"/>
        <v>0</v>
      </c>
      <c r="O6" s="6">
        <v>2.4613143558263484E-32</v>
      </c>
      <c r="P6" s="6">
        <v>4.429153545729096E-22</v>
      </c>
      <c r="Q6" s="6">
        <v>1.0641048017496917E-21</v>
      </c>
      <c r="R6" s="6">
        <v>5.4325735835289068E-33</v>
      </c>
    </row>
    <row r="7" spans="1:22" x14ac:dyDescent="0.2">
      <c r="J7" s="1">
        <v>5</v>
      </c>
      <c r="K7" s="4">
        <v>10</v>
      </c>
      <c r="L7" s="4">
        <v>0</v>
      </c>
      <c r="M7" s="5">
        <v>1.6051261312859586E-29</v>
      </c>
      <c r="N7" s="5">
        <f>CallOption(K7,$B$2,0,$B$1,$B$9,$C$9)</f>
        <v>0</v>
      </c>
      <c r="O7" s="6">
        <v>4.5160446488446657E-30</v>
      </c>
      <c r="P7" s="6">
        <v>3.6629299317025716E-20</v>
      </c>
      <c r="Q7" s="6">
        <v>7.9348226710877384E-20</v>
      </c>
      <c r="R7" s="6">
        <v>1.1271049325852272E-30</v>
      </c>
    </row>
    <row r="8" spans="1:22" x14ac:dyDescent="0.2">
      <c r="A8" s="2" t="s">
        <v>5</v>
      </c>
      <c r="B8" s="2" t="s">
        <v>4</v>
      </c>
      <c r="C8" s="2" t="s">
        <v>7</v>
      </c>
      <c r="D8" s="2" t="s">
        <v>8</v>
      </c>
      <c r="E8" s="2" t="s">
        <v>9</v>
      </c>
      <c r="F8" s="2" t="s">
        <v>10</v>
      </c>
      <c r="J8" s="1">
        <v>6</v>
      </c>
      <c r="K8" s="4">
        <v>12</v>
      </c>
      <c r="L8" s="4">
        <v>0</v>
      </c>
      <c r="M8" s="5">
        <v>1.9369655663212971E-27</v>
      </c>
      <c r="N8" s="5">
        <f t="shared" si="0"/>
        <v>0</v>
      </c>
      <c r="O8" s="6">
        <v>5.3893947263842175E-28</v>
      </c>
      <c r="P8" s="6">
        <v>1.9054674509255224E-18</v>
      </c>
      <c r="Q8" s="6">
        <v>3.7415897790099209E-18</v>
      </c>
      <c r="R8" s="6">
        <v>1.5145152638345574E-28</v>
      </c>
    </row>
    <row r="9" spans="1:22" x14ac:dyDescent="0.2">
      <c r="A9" s="1" t="s">
        <v>6</v>
      </c>
      <c r="B9" s="1">
        <v>100</v>
      </c>
      <c r="C9" s="1">
        <v>0.5</v>
      </c>
      <c r="D9" s="1">
        <v>0.39</v>
      </c>
      <c r="E9" s="1">
        <v>0.59</v>
      </c>
      <c r="F9" s="1">
        <v>1</v>
      </c>
      <c r="J9" s="1">
        <v>7</v>
      </c>
      <c r="K9" s="4">
        <v>14</v>
      </c>
      <c r="L9" s="4">
        <v>0</v>
      </c>
      <c r="M9" s="5">
        <v>1.6261350402759054E-25</v>
      </c>
      <c r="N9" s="5">
        <f t="shared" si="0"/>
        <v>0</v>
      </c>
      <c r="O9" s="6">
        <v>4.4720694373077566E-26</v>
      </c>
      <c r="P9" s="6">
        <v>6.7226935582013928E-17</v>
      </c>
      <c r="Q9" s="6">
        <v>1.2032672821429476E-16</v>
      </c>
      <c r="R9" s="6">
        <v>1.408908158962121E-26</v>
      </c>
    </row>
    <row r="10" spans="1:22" x14ac:dyDescent="0.2">
      <c r="J10" s="1">
        <v>8</v>
      </c>
      <c r="K10" s="4">
        <v>16</v>
      </c>
      <c r="L10" s="4">
        <v>0</v>
      </c>
      <c r="M10" s="5">
        <v>9.9594533212179348E-24</v>
      </c>
      <c r="N10" s="5">
        <f t="shared" si="0"/>
        <v>0</v>
      </c>
      <c r="O10" s="6">
        <v>2.7056427496266355E-24</v>
      </c>
      <c r="P10" s="6">
        <v>1.6972132298728506E-15</v>
      </c>
      <c r="Q10" s="6">
        <v>2.7851094315051376E-15</v>
      </c>
      <c r="R10" s="6">
        <v>9.5137370760019889E-25</v>
      </c>
    </row>
    <row r="11" spans="1:22" x14ac:dyDescent="0.2">
      <c r="J11" s="1">
        <v>9</v>
      </c>
      <c r="K11" s="4">
        <v>18</v>
      </c>
      <c r="L11" s="4">
        <v>0</v>
      </c>
      <c r="M11" s="5">
        <v>4.6112312897593474E-22</v>
      </c>
      <c r="N11" s="5">
        <f t="shared" si="0"/>
        <v>0</v>
      </c>
      <c r="O11" s="6">
        <v>1.2367088376263686E-22</v>
      </c>
      <c r="P11" s="6">
        <v>3.1929680220743E-14</v>
      </c>
      <c r="Q11" s="6">
        <v>4.8327823267387782E-14</v>
      </c>
      <c r="R11" s="6">
        <v>4.8314182914656649E-23</v>
      </c>
    </row>
    <row r="12" spans="1:22" x14ac:dyDescent="0.2">
      <c r="J12" s="1">
        <v>10</v>
      </c>
      <c r="K12" s="4">
        <v>20</v>
      </c>
      <c r="L12" s="4">
        <v>0</v>
      </c>
      <c r="M12" s="5">
        <v>1.6594122098146663E-20</v>
      </c>
      <c r="N12" s="5">
        <f t="shared" si="0"/>
        <v>0</v>
      </c>
      <c r="O12" s="6">
        <v>4.3907170219930363E-21</v>
      </c>
      <c r="P12" s="6">
        <v>4.622539551804347E-13</v>
      </c>
      <c r="Q12" s="6">
        <v>6.4931125475793996E-13</v>
      </c>
      <c r="R12" s="6">
        <v>1.8969000184893488E-21</v>
      </c>
    </row>
    <row r="13" spans="1:22" x14ac:dyDescent="0.2">
      <c r="J13" s="1">
        <v>11</v>
      </c>
      <c r="K13" s="4">
        <v>22</v>
      </c>
      <c r="L13" s="4">
        <v>0</v>
      </c>
      <c r="M13" s="5">
        <v>4.7461466385313518E-19</v>
      </c>
      <c r="N13" s="5">
        <f t="shared" si="0"/>
        <v>0</v>
      </c>
      <c r="O13" s="6">
        <v>1.2380819060867765E-19</v>
      </c>
      <c r="P13" s="6">
        <v>5.2879317307629288E-12</v>
      </c>
      <c r="Q13" s="6">
        <v>6.9364038657813055E-12</v>
      </c>
      <c r="R13" s="6">
        <v>5.8869908796606814E-20</v>
      </c>
    </row>
    <row r="14" spans="1:22" x14ac:dyDescent="0.2">
      <c r="J14" s="1">
        <v>12</v>
      </c>
      <c r="K14" s="4">
        <v>24</v>
      </c>
      <c r="L14" s="4">
        <v>0</v>
      </c>
      <c r="M14" s="5">
        <v>1.0989369073054653E-17</v>
      </c>
      <c r="N14" s="5">
        <f t="shared" si="0"/>
        <v>0</v>
      </c>
      <c r="O14" s="6">
        <v>2.8241320476253375E-18</v>
      </c>
      <c r="P14" s="6">
        <v>4.8883259117164865E-11</v>
      </c>
      <c r="Q14" s="6">
        <v>6.0254777916618596E-11</v>
      </c>
      <c r="R14" s="6">
        <v>1.4708165039226892E-18</v>
      </c>
    </row>
    <row r="15" spans="1:22" x14ac:dyDescent="0.2">
      <c r="J15" s="1">
        <v>13</v>
      </c>
      <c r="K15" s="4">
        <v>26</v>
      </c>
      <c r="L15" s="4">
        <v>0</v>
      </c>
      <c r="M15" s="5">
        <v>2.0921190069822161E-16</v>
      </c>
      <c r="N15" s="5">
        <f t="shared" si="0"/>
        <v>0</v>
      </c>
      <c r="O15" s="6">
        <v>5.2924799938537336E-17</v>
      </c>
      <c r="P15" s="6">
        <v>3.72376563596227E-10</v>
      </c>
      <c r="Q15" s="6">
        <v>4.3397656631423163E-10</v>
      </c>
      <c r="R15" s="6">
        <v>3.0041581187741855E-17</v>
      </c>
    </row>
    <row r="16" spans="1:22" x14ac:dyDescent="0.2">
      <c r="J16" s="1">
        <v>14</v>
      </c>
      <c r="K16" s="4">
        <v>28</v>
      </c>
      <c r="L16" s="4">
        <v>0</v>
      </c>
      <c r="M16" s="5">
        <v>3.318687406954774E-15</v>
      </c>
      <c r="N16" s="5">
        <f t="shared" si="0"/>
        <v>0</v>
      </c>
      <c r="O16" s="6">
        <v>8.2572455604461484E-16</v>
      </c>
      <c r="P16" s="6">
        <v>2.3783147983616754E-9</v>
      </c>
      <c r="Q16" s="6">
        <v>2.6363403569271915E-9</v>
      </c>
      <c r="R16" s="6">
        <v>5.083015920614388E-16</v>
      </c>
    </row>
    <row r="17" spans="10:18" x14ac:dyDescent="0.2">
      <c r="J17" s="1">
        <v>15</v>
      </c>
      <c r="K17" s="4">
        <v>30</v>
      </c>
      <c r="L17" s="4">
        <v>0</v>
      </c>
      <c r="M17" s="5">
        <v>4.43774415207013E-14</v>
      </c>
      <c r="N17" s="5">
        <f t="shared" si="0"/>
        <v>3.3306690738754696E-15</v>
      </c>
      <c r="O17" s="6">
        <v>1.0850273400968663E-14</v>
      </c>
      <c r="P17" s="6">
        <v>1.2935457939712045E-8</v>
      </c>
      <c r="Q17" s="6">
        <v>1.3716645824003039E-8</v>
      </c>
      <c r="R17" s="6">
        <v>7.2071218672916961E-15</v>
      </c>
    </row>
    <row r="18" spans="10:18" x14ac:dyDescent="0.2">
      <c r="J18" s="1">
        <v>16</v>
      </c>
      <c r="K18" s="4">
        <v>32</v>
      </c>
      <c r="L18" s="4">
        <v>0</v>
      </c>
      <c r="M18" s="5">
        <v>5.0541655533939644E-13</v>
      </c>
      <c r="N18" s="5">
        <f t="shared" si="0"/>
        <v>5.7456340104937602E-15</v>
      </c>
      <c r="O18" s="6">
        <v>1.213189406858208E-13</v>
      </c>
      <c r="P18" s="6">
        <v>6.0766009012966164E-8</v>
      </c>
      <c r="Q18" s="6">
        <v>6.1973412317907725E-8</v>
      </c>
      <c r="R18" s="6">
        <v>8.6513817452525631E-14</v>
      </c>
    </row>
    <row r="19" spans="10:18" x14ac:dyDescent="0.2">
      <c r="J19" s="1">
        <v>17</v>
      </c>
      <c r="K19" s="4">
        <v>34</v>
      </c>
      <c r="L19" s="4">
        <v>0</v>
      </c>
      <c r="M19" s="5">
        <v>4.9482258776300384E-12</v>
      </c>
      <c r="N19" s="5">
        <f t="shared" si="0"/>
        <v>5.3117304611292542E-14</v>
      </c>
      <c r="O19" s="6">
        <v>1.1649244973377972E-12</v>
      </c>
      <c r="P19" s="6">
        <v>2.4975711317990884E-7</v>
      </c>
      <c r="Q19" s="6">
        <v>2.4621783207207712E-7</v>
      </c>
      <c r="R19" s="6">
        <v>8.8734022056785264E-13</v>
      </c>
    </row>
    <row r="20" spans="10:18" x14ac:dyDescent="0.2">
      <c r="J20" s="1">
        <v>18</v>
      </c>
      <c r="K20" s="4">
        <v>36</v>
      </c>
      <c r="L20" s="4">
        <v>0</v>
      </c>
      <c r="M20" s="5">
        <v>4.199738293320528E-11</v>
      </c>
      <c r="N20" s="5">
        <f t="shared" si="0"/>
        <v>1.0230951254565479E-12</v>
      </c>
      <c r="O20" s="6">
        <v>9.6869056117737397E-12</v>
      </c>
      <c r="P20" s="6">
        <v>9.088585896044854E-7</v>
      </c>
      <c r="Q20" s="6">
        <v>8.7006064957807724E-7</v>
      </c>
      <c r="R20" s="6">
        <v>7.841946130475175E-12</v>
      </c>
    </row>
    <row r="21" spans="10:18" x14ac:dyDescent="0.2">
      <c r="J21" s="1">
        <v>19</v>
      </c>
      <c r="K21" s="4">
        <v>38</v>
      </c>
      <c r="L21" s="4">
        <v>0</v>
      </c>
      <c r="M21" s="5">
        <v>3.1141303493047954E-10</v>
      </c>
      <c r="N21" s="5">
        <f t="shared" si="0"/>
        <v>1.6095682188097928E-11</v>
      </c>
      <c r="O21" s="6">
        <v>7.0297001366058543E-11</v>
      </c>
      <c r="P21" s="6">
        <v>2.9601375585623226E-6</v>
      </c>
      <c r="Q21" s="6">
        <v>2.7632366059108677E-6</v>
      </c>
      <c r="R21" s="6">
        <v>6.0180686629940482E-11</v>
      </c>
    </row>
    <row r="22" spans="10:18" x14ac:dyDescent="0.2">
      <c r="J22" s="1">
        <v>20</v>
      </c>
      <c r="K22" s="4">
        <v>40</v>
      </c>
      <c r="L22" s="4">
        <v>0</v>
      </c>
      <c r="M22" s="5">
        <v>2.0320158712333621E-9</v>
      </c>
      <c r="N22" s="5">
        <f t="shared" si="0"/>
        <v>1.930216996562394E-10</v>
      </c>
      <c r="O22" s="6">
        <v>4.4839866767771508E-10</v>
      </c>
      <c r="P22" s="6">
        <v>8.7153301929903514E-6</v>
      </c>
      <c r="Q22" s="6">
        <v>7.9624954890120631E-6</v>
      </c>
      <c r="R22" s="6">
        <v>4.0396142958558704E-10</v>
      </c>
    </row>
    <row r="23" spans="10:18" x14ac:dyDescent="0.2">
      <c r="J23" s="1">
        <v>21</v>
      </c>
      <c r="K23" s="4">
        <v>42</v>
      </c>
      <c r="L23" s="4">
        <v>0</v>
      </c>
      <c r="M23" s="5">
        <v>1.1747213583690334E-8</v>
      </c>
      <c r="N23" s="5">
        <f t="shared" si="0"/>
        <v>1.8242997026938244E-9</v>
      </c>
      <c r="O23" s="6">
        <v>2.5309717956863414E-9</v>
      </c>
      <c r="P23" s="6">
        <v>2.3407764492898838E-5</v>
      </c>
      <c r="Q23" s="6">
        <v>2.0999067667156451E-5</v>
      </c>
      <c r="R23" s="6">
        <v>2.3880602475648454E-9</v>
      </c>
    </row>
    <row r="24" spans="10:18" x14ac:dyDescent="0.2">
      <c r="J24" s="1">
        <v>22</v>
      </c>
      <c r="K24" s="4">
        <v>44</v>
      </c>
      <c r="L24" s="4">
        <v>0</v>
      </c>
      <c r="M24" s="5">
        <v>6.0554020816100939E-8</v>
      </c>
      <c r="N24" s="5">
        <f t="shared" si="0"/>
        <v>1.3970713350862492E-8</v>
      </c>
      <c r="O24" s="6">
        <v>1.2722352913728187E-8</v>
      </c>
      <c r="P24" s="6">
        <v>5.7828154313816793E-5</v>
      </c>
      <c r="Q24" s="6">
        <v>5.1084435161721125E-5</v>
      </c>
      <c r="R24" s="6">
        <v>1.251421006950886E-8</v>
      </c>
    </row>
    <row r="25" spans="10:18" x14ac:dyDescent="0.2">
      <c r="J25" s="1">
        <v>23</v>
      </c>
      <c r="K25" s="4">
        <v>46</v>
      </c>
      <c r="L25" s="4">
        <v>0</v>
      </c>
      <c r="M25" s="5">
        <v>2.8002773172814576E-7</v>
      </c>
      <c r="N25" s="5">
        <f t="shared" si="0"/>
        <v>8.8771985901954796E-8</v>
      </c>
      <c r="O25" s="6">
        <v>5.7297288384834033E-8</v>
      </c>
      <c r="P25" s="6">
        <v>1.3240213521709696E-4</v>
      </c>
      <c r="Q25" s="6">
        <v>1.1545690972022434E-4</v>
      </c>
      <c r="R25" s="6">
        <v>5.8496100111616994E-8</v>
      </c>
    </row>
    <row r="26" spans="10:18" x14ac:dyDescent="0.2">
      <c r="J26" s="1">
        <v>24</v>
      </c>
      <c r="K26" s="4">
        <v>48</v>
      </c>
      <c r="L26" s="4">
        <v>0</v>
      </c>
      <c r="M26" s="5">
        <v>1.168542195932668E-6</v>
      </c>
      <c r="N26" s="5">
        <f t="shared" si="0"/>
        <v>4.7763169975743993E-7</v>
      </c>
      <c r="O26" s="6">
        <v>2.3254312982911199E-7</v>
      </c>
      <c r="P26" s="6">
        <v>2.828761727001285E-4</v>
      </c>
      <c r="Q26" s="6">
        <v>2.4401169632162238E-4</v>
      </c>
      <c r="R26" s="6">
        <v>2.453741787817257E-7</v>
      </c>
    </row>
    <row r="27" spans="10:18" x14ac:dyDescent="0.2">
      <c r="J27" s="1">
        <v>25</v>
      </c>
      <c r="K27" s="4">
        <v>50</v>
      </c>
      <c r="L27" s="4">
        <v>0</v>
      </c>
      <c r="M27" s="5">
        <v>4.4249463993535491E-6</v>
      </c>
      <c r="N27" s="5">
        <f t="shared" si="0"/>
        <v>2.2144978938359991E-6</v>
      </c>
      <c r="O27" s="6">
        <v>8.5524982188859132E-7</v>
      </c>
      <c r="P27" s="6">
        <v>5.6745625939128724E-4</v>
      </c>
      <c r="Q27" s="6">
        <v>4.8507944256955926E-4</v>
      </c>
      <c r="R27" s="6">
        <v>9.2904221520028428E-7</v>
      </c>
    </row>
    <row r="28" spans="10:18" x14ac:dyDescent="0.2">
      <c r="J28" s="1">
        <v>26</v>
      </c>
      <c r="K28" s="4">
        <v>52</v>
      </c>
      <c r="L28" s="4">
        <v>0</v>
      </c>
      <c r="M28" s="5">
        <v>1.5287482192303919E-5</v>
      </c>
      <c r="N28" s="5">
        <f t="shared" si="0"/>
        <v>8.9829114202776179E-6</v>
      </c>
      <c r="O28" s="6">
        <v>2.8656967880624489E-6</v>
      </c>
      <c r="P28" s="6">
        <v>1.0748167958096546E-3</v>
      </c>
      <c r="Q28" s="6">
        <v>9.1187890820879016E-4</v>
      </c>
      <c r="R28" s="6">
        <v>3.192959088179189E-6</v>
      </c>
    </row>
    <row r="29" spans="10:18" x14ac:dyDescent="0.2">
      <c r="J29" s="1">
        <v>27</v>
      </c>
      <c r="K29" s="4">
        <v>54</v>
      </c>
      <c r="L29" s="4">
        <v>0</v>
      </c>
      <c r="M29" s="5">
        <v>4.8438149616589388E-5</v>
      </c>
      <c r="N29" s="5">
        <f t="shared" si="0"/>
        <v>3.2305009845541533E-5</v>
      </c>
      <c r="O29" s="6">
        <v>8.7934563300850459E-6</v>
      </c>
      <c r="P29" s="6">
        <v>1.9319636786185596E-3</v>
      </c>
      <c r="Q29" s="6">
        <v>1.6288250102857696E-3</v>
      </c>
      <c r="R29" s="6">
        <v>1.0015516625744881E-5</v>
      </c>
    </row>
    <row r="30" spans="10:18" x14ac:dyDescent="0.2">
      <c r="J30" s="1">
        <v>28</v>
      </c>
      <c r="K30" s="4">
        <v>56</v>
      </c>
      <c r="L30" s="4">
        <v>0</v>
      </c>
      <c r="M30" s="5">
        <v>1.4146230453167418E-4</v>
      </c>
      <c r="N30" s="5">
        <f t="shared" si="0"/>
        <v>1.0420191214526855E-4</v>
      </c>
      <c r="O30" s="6">
        <v>2.4833935410589716E-5</v>
      </c>
      <c r="P30" s="6">
        <v>3.3106187739334355E-3</v>
      </c>
      <c r="Q30" s="6">
        <v>2.7766204118528683E-3</v>
      </c>
      <c r="R30" s="6">
        <v>2.8825111675702651E-5</v>
      </c>
    </row>
    <row r="31" spans="10:18" x14ac:dyDescent="0.2">
      <c r="J31" s="1">
        <v>29</v>
      </c>
      <c r="K31" s="4">
        <v>58</v>
      </c>
      <c r="L31" s="4">
        <v>0</v>
      </c>
      <c r="M31" s="5">
        <v>3.8264293422298471E-4</v>
      </c>
      <c r="N31" s="5">
        <f t="shared" si="0"/>
        <v>3.0456287098686377E-4</v>
      </c>
      <c r="O31" s="6">
        <v>6.4859561849831996E-5</v>
      </c>
      <c r="P31" s="6">
        <v>5.4306995795183229E-3</v>
      </c>
      <c r="Q31" s="6">
        <v>4.5349820775147948E-3</v>
      </c>
      <c r="R31" s="6">
        <v>7.6507706762930655E-5</v>
      </c>
    </row>
    <row r="32" spans="10:18" x14ac:dyDescent="0.2">
      <c r="J32" s="1">
        <v>30</v>
      </c>
      <c r="K32" s="4">
        <v>60</v>
      </c>
      <c r="L32" s="4">
        <v>0</v>
      </c>
      <c r="M32" s="5">
        <v>9.6308600074236563E-4</v>
      </c>
      <c r="N32" s="5">
        <f t="shared" si="0"/>
        <v>8.139652850463891E-4</v>
      </c>
      <c r="O32" s="6">
        <v>1.5738112517821692E-4</v>
      </c>
      <c r="P32" s="6">
        <v>8.5596529901942765E-3</v>
      </c>
      <c r="Q32" s="6">
        <v>7.1219992643420495E-3</v>
      </c>
      <c r="R32" s="6">
        <v>1.8819823694429458E-4</v>
      </c>
    </row>
    <row r="33" spans="10:18" x14ac:dyDescent="0.2">
      <c r="J33" s="1">
        <v>31</v>
      </c>
      <c r="K33" s="4">
        <v>62</v>
      </c>
      <c r="L33" s="4">
        <v>0</v>
      </c>
      <c r="M33" s="5">
        <v>2.2656529191287258E-3</v>
      </c>
      <c r="N33" s="5">
        <f t="shared" si="0"/>
        <v>2.0052025005018251E-3</v>
      </c>
      <c r="O33" s="6">
        <v>3.5637741633169184E-4</v>
      </c>
      <c r="P33" s="6">
        <v>1.300685080539769E-2</v>
      </c>
      <c r="Q33" s="6">
        <v>1.0789477026180029E-2</v>
      </c>
      <c r="R33" s="6">
        <v>4.3108144960674164E-4</v>
      </c>
    </row>
    <row r="34" spans="10:18" x14ac:dyDescent="0.2">
      <c r="J34" s="1">
        <v>32</v>
      </c>
      <c r="K34" s="4">
        <v>64</v>
      </c>
      <c r="L34" s="4">
        <v>0</v>
      </c>
      <c r="M34" s="5">
        <v>5.0030663952406436E-3</v>
      </c>
      <c r="N34" s="5">
        <f t="shared" si="0"/>
        <v>4.5862166887150752E-3</v>
      </c>
      <c r="O34" s="6">
        <v>7.5630246995005796E-4</v>
      </c>
      <c r="P34" s="6">
        <v>1.9112887323807226E-2</v>
      </c>
      <c r="Q34" s="6">
        <v>1.5814128278877494E-2</v>
      </c>
      <c r="R34" s="6">
        <v>9.2365192790442089E-4</v>
      </c>
    </row>
    <row r="35" spans="10:18" x14ac:dyDescent="0.2">
      <c r="J35" s="1">
        <v>33</v>
      </c>
      <c r="K35" s="4">
        <v>66</v>
      </c>
      <c r="L35" s="4">
        <v>0</v>
      </c>
      <c r="M35" s="5">
        <v>1.0412852416255015E-2</v>
      </c>
      <c r="N35" s="5">
        <f t="shared" si="0"/>
        <v>9.8014708990293298E-3</v>
      </c>
      <c r="O35" s="6">
        <v>1.5103479880940872E-3</v>
      </c>
      <c r="P35" s="6">
        <v>2.7234315543383892E-2</v>
      </c>
      <c r="Q35" s="6">
        <v>2.2485042420567886E-2</v>
      </c>
      <c r="R35" s="6">
        <v>1.8592870663584856E-3</v>
      </c>
    </row>
    <row r="36" spans="10:18" x14ac:dyDescent="0.2">
      <c r="J36" s="1">
        <v>34</v>
      </c>
      <c r="K36" s="4">
        <v>68</v>
      </c>
      <c r="L36" s="4">
        <v>0</v>
      </c>
      <c r="M36" s="5">
        <v>2.0506313934113923E-2</v>
      </c>
      <c r="N36" s="5">
        <f t="shared" si="0"/>
        <v>1.9687169983491071E-2</v>
      </c>
      <c r="O36" s="6">
        <v>2.8493253727151077E-3</v>
      </c>
      <c r="P36" s="6">
        <v>3.77249893012684E-2</v>
      </c>
      <c r="Q36" s="6">
        <v>3.1088375330889113E-2</v>
      </c>
      <c r="R36" s="6">
        <v>3.5307580563708322E-3</v>
      </c>
    </row>
    <row r="37" spans="10:18" x14ac:dyDescent="0.2">
      <c r="J37" s="1">
        <v>35</v>
      </c>
      <c r="K37" s="4">
        <v>70</v>
      </c>
      <c r="L37" s="4">
        <v>0</v>
      </c>
      <c r="M37" s="5">
        <v>3.8353211403568746E-2</v>
      </c>
      <c r="N37" s="5">
        <f t="shared" si="0"/>
        <v>3.7359440651769993E-2</v>
      </c>
      <c r="O37" s="6">
        <v>5.0967943605067139E-3</v>
      </c>
      <c r="P37" s="6">
        <v>5.0915637341290676E-2</v>
      </c>
      <c r="Q37" s="6">
        <v>4.1890586062971372E-2</v>
      </c>
      <c r="R37" s="6">
        <v>6.3500471990295066E-3</v>
      </c>
    </row>
    <row r="38" spans="10:18" x14ac:dyDescent="0.2">
      <c r="J38" s="1">
        <v>36</v>
      </c>
      <c r="K38" s="4">
        <v>72</v>
      </c>
      <c r="L38" s="4">
        <v>0</v>
      </c>
      <c r="M38" s="5">
        <v>6.8366351210363857E-2</v>
      </c>
      <c r="N38" s="5">
        <f t="shared" si="0"/>
        <v>6.7297256549429418E-2</v>
      </c>
      <c r="O38" s="6">
        <v>8.674983735857034E-3</v>
      </c>
      <c r="P38" s="6">
        <v>6.7093517198530739E-2</v>
      </c>
      <c r="Q38" s="6">
        <v>5.5121734499412808E-2</v>
      </c>
      <c r="R38" s="6">
        <v>1.0856446367080323E-2</v>
      </c>
    </row>
    <row r="39" spans="10:18" x14ac:dyDescent="0.2">
      <c r="J39" s="1">
        <v>37</v>
      </c>
      <c r="K39" s="4">
        <v>74</v>
      </c>
      <c r="L39" s="4">
        <v>0</v>
      </c>
      <c r="M39" s="5">
        <v>0.11653584021828281</v>
      </c>
      <c r="N39" s="5">
        <f t="shared" si="0"/>
        <v>0.11556871246050759</v>
      </c>
      <c r="O39" s="6">
        <v>1.4096279746250818E-2</v>
      </c>
      <c r="P39" s="6">
        <v>8.6483966495523368E-2</v>
      </c>
      <c r="Q39" s="6">
        <v>7.0960336278386396E-2</v>
      </c>
      <c r="R39" s="6">
        <v>1.7706226175402726E-2</v>
      </c>
    </row>
    <row r="40" spans="10:18" x14ac:dyDescent="0.2">
      <c r="J40" s="1">
        <v>38</v>
      </c>
      <c r="K40" s="4">
        <v>76</v>
      </c>
      <c r="L40" s="4">
        <v>0</v>
      </c>
      <c r="M40" s="5">
        <v>0.19055670561792035</v>
      </c>
      <c r="N40" s="5">
        <f t="shared" si="0"/>
        <v>0.18994520352937494</v>
      </c>
      <c r="O40" s="6">
        <v>2.1936926366095288E-2</v>
      </c>
      <c r="P40" s="6">
        <v>0.10923541538082825</v>
      </c>
      <c r="Q40" s="6">
        <v>8.9521067748659158E-2</v>
      </c>
      <c r="R40" s="6">
        <v>2.7639590031120615E-2</v>
      </c>
    </row>
    <row r="41" spans="10:18" x14ac:dyDescent="0.2">
      <c r="J41" s="1">
        <v>39</v>
      </c>
      <c r="K41" s="4">
        <v>78</v>
      </c>
      <c r="L41" s="4">
        <v>0</v>
      </c>
      <c r="M41" s="5">
        <v>0.29979963926572611</v>
      </c>
      <c r="N41" s="5">
        <f t="shared" si="0"/>
        <v>0.29985610463308454</v>
      </c>
      <c r="O41" s="6">
        <v>3.2792874616037443E-2</v>
      </c>
      <c r="P41" s="6">
        <v>0.13540900610310316</v>
      </c>
      <c r="Q41" s="6">
        <v>0.11084627264833334</v>
      </c>
      <c r="R41" s="6">
        <v>4.1424858482587229E-2</v>
      </c>
    </row>
    <row r="42" spans="10:18" x14ac:dyDescent="0.2">
      <c r="J42" s="1">
        <v>40</v>
      </c>
      <c r="K42" s="4">
        <v>80</v>
      </c>
      <c r="L42" s="4">
        <v>0</v>
      </c>
      <c r="M42" s="5">
        <v>0.45509332595625035</v>
      </c>
      <c r="N42" s="5">
        <f t="shared" si="0"/>
        <v>0.45615635982011149</v>
      </c>
      <c r="O42" s="6">
        <v>4.7221681161481129E-2</v>
      </c>
      <c r="P42" s="6">
        <v>0.1649734588305041</v>
      </c>
      <c r="Q42" s="6">
        <v>0.13490180529424189</v>
      </c>
      <c r="R42" s="6">
        <v>5.9784879428052128E-2</v>
      </c>
    </row>
    <row r="43" spans="10:18" x14ac:dyDescent="0.2">
      <c r="J43" s="1">
        <v>41</v>
      </c>
      <c r="K43" s="4">
        <v>82</v>
      </c>
      <c r="L43" s="4">
        <v>0</v>
      </c>
      <c r="M43" s="5">
        <v>0.66831497309454324</v>
      </c>
      <c r="N43" s="5">
        <f t="shared" si="0"/>
        <v>0.67070732469980854</v>
      </c>
      <c r="O43" s="6">
        <v>6.5677922612835768E-2</v>
      </c>
      <c r="P43" s="6">
        <v>0.19780530164126442</v>
      </c>
      <c r="Q43" s="6">
        <v>0.16157731484810486</v>
      </c>
      <c r="R43" s="6">
        <v>8.3315166498488816E-2</v>
      </c>
    </row>
    <row r="44" spans="10:18" x14ac:dyDescent="0.2">
      <c r="J44" s="1">
        <v>42</v>
      </c>
      <c r="K44" s="4">
        <v>84</v>
      </c>
      <c r="L44" s="4">
        <v>0</v>
      </c>
      <c r="M44" s="5">
        <v>0.95181723131057627</v>
      </c>
      <c r="N44" s="5">
        <f t="shared" si="0"/>
        <v>0.95580132769995352</v>
      </c>
      <c r="O44" s="6">
        <v>8.8451746769961731E-2</v>
      </c>
      <c r="P44" s="6">
        <v>0.23369411084780381</v>
      </c>
      <c r="Q44" s="6">
        <v>0.1906906851161384</v>
      </c>
      <c r="R44" s="6">
        <v>0.11240596079555043</v>
      </c>
    </row>
    <row r="45" spans="10:18" x14ac:dyDescent="0.2">
      <c r="J45" s="1">
        <v>43</v>
      </c>
      <c r="K45" s="4">
        <v>86</v>
      </c>
      <c r="L45" s="4">
        <v>0</v>
      </c>
      <c r="M45" s="5">
        <v>1.3177475971893169</v>
      </c>
      <c r="N45" s="5">
        <f t="shared" si="0"/>
        <v>1.3234862974145862</v>
      </c>
      <c r="O45" s="6">
        <v>0.11562031030834174</v>
      </c>
      <c r="P45" s="6">
        <v>0.27235203139871839</v>
      </c>
      <c r="Q45" s="6">
        <v>0.22199603260828735</v>
      </c>
      <c r="R45" s="6">
        <v>0.14718053537649087</v>
      </c>
    </row>
    <row r="46" spans="10:18" x14ac:dyDescent="0.2">
      <c r="J46" s="1">
        <v>44</v>
      </c>
      <c r="K46" s="4">
        <v>88</v>
      </c>
      <c r="L46" s="4">
        <v>0</v>
      </c>
      <c r="M46" s="5">
        <v>1.7773345697251925</v>
      </c>
      <c r="N46" s="5">
        <f t="shared" si="0"/>
        <v>1.78486329032825</v>
      </c>
      <c r="O46" s="6">
        <v>0.14701992954651852</v>
      </c>
      <c r="P46" s="6">
        <v>0.31342659174745052</v>
      </c>
      <c r="Q46" s="6">
        <v>0.25519445322199003</v>
      </c>
      <c r="R46" s="6">
        <v>0.18745959665277701</v>
      </c>
    </row>
    <row r="47" spans="10:18" x14ac:dyDescent="0.2">
      <c r="J47" s="1">
        <v>45</v>
      </c>
      <c r="K47" s="4">
        <v>90</v>
      </c>
      <c r="L47" s="4">
        <v>0</v>
      </c>
      <c r="M47" s="5">
        <v>2.3402198611316662</v>
      </c>
      <c r="N47" s="5">
        <f t="shared" si="0"/>
        <v>2.3494341850316296</v>
      </c>
      <c r="O47" s="6">
        <v>0.18224333245192104</v>
      </c>
      <c r="P47" s="6">
        <v>0.35651569973481778</v>
      </c>
      <c r="Q47" s="6">
        <v>0.28994659971090919</v>
      </c>
      <c r="R47" s="6">
        <v>0.23275724858709471</v>
      </c>
    </row>
    <row r="48" spans="10:18" x14ac:dyDescent="0.2">
      <c r="J48" s="1">
        <v>46</v>
      </c>
      <c r="K48" s="4">
        <v>92</v>
      </c>
      <c r="L48" s="4">
        <v>0</v>
      </c>
      <c r="M48" s="5">
        <v>3.0139076707286923</v>
      </c>
      <c r="N48" s="5">
        <f t="shared" si="0"/>
        <v>3.0245693680775005</v>
      </c>
      <c r="O48" s="6">
        <v>0.22066231832569777</v>
      </c>
      <c r="P48" s="6">
        <v>0.40118369614261995</v>
      </c>
      <c r="Q48" s="6">
        <v>0.32588615981679375</v>
      </c>
      <c r="R48" s="6">
        <v>0.28230876832116253</v>
      </c>
    </row>
    <row r="49" spans="10:18" x14ac:dyDescent="0.2">
      <c r="J49" s="1">
        <v>47</v>
      </c>
      <c r="K49" s="4">
        <v>94</v>
      </c>
      <c r="L49" s="4">
        <v>0</v>
      </c>
      <c r="M49" s="5">
        <v>3.8033831493922849</v>
      </c>
      <c r="N49" s="5">
        <f t="shared" si="0"/>
        <v>3.8151484910708291</v>
      </c>
      <c r="O49" s="6">
        <v>0.26147231021054779</v>
      </c>
      <c r="P49" s="6">
        <v>0.4469774296466314</v>
      </c>
      <c r="Q49" s="6">
        <v>0.36263337150031782</v>
      </c>
      <c r="R49" s="6">
        <v>0.33512556677257627</v>
      </c>
    </row>
    <row r="50" spans="10:18" x14ac:dyDescent="0.2">
      <c r="J50" s="1">
        <v>48</v>
      </c>
      <c r="K50" s="4">
        <v>96</v>
      </c>
      <c r="L50" s="4">
        <v>0</v>
      </c>
      <c r="M50" s="5">
        <v>4.7109272716747768</v>
      </c>
      <c r="N50" s="5">
        <f t="shared" si="0"/>
        <v>4.7234053100201905</v>
      </c>
      <c r="O50" s="6">
        <v>0.30375240870138259</v>
      </c>
      <c r="P50" s="6">
        <v>0.49344147356508583</v>
      </c>
      <c r="Q50" s="6">
        <v>0.39980783541846537</v>
      </c>
      <c r="R50" s="6">
        <v>0.39006910978967979</v>
      </c>
    </row>
    <row r="51" spans="10:18" x14ac:dyDescent="0.2">
      <c r="J51" s="1">
        <v>49</v>
      </c>
      <c r="K51" s="4">
        <v>98</v>
      </c>
      <c r="L51" s="4">
        <v>0</v>
      </c>
      <c r="M51" s="5">
        <v>5.7361294449367133</v>
      </c>
      <c r="N51" s="5">
        <f t="shared" si="0"/>
        <v>5.7489146267422626</v>
      </c>
      <c r="O51" s="6">
        <v>0.34653298523963311</v>
      </c>
      <c r="P51" s="6">
        <v>0.54013180209816047</v>
      </c>
      <c r="Q51" s="6">
        <v>0.43704004304840838</v>
      </c>
      <c r="R51" s="6">
        <v>0.44593376502940391</v>
      </c>
    </row>
    <row r="52" spans="10:18" x14ac:dyDescent="0.2">
      <c r="J52" s="1">
        <v>50</v>
      </c>
      <c r="K52" s="4">
        <v>100</v>
      </c>
      <c r="L52" s="4">
        <v>0</v>
      </c>
      <c r="M52" s="5">
        <v>6.8760766824844906</v>
      </c>
      <c r="N52" s="5">
        <f t="shared" si="0"/>
        <v>6.8887182220808114</v>
      </c>
      <c r="O52" s="6">
        <v>0.38911034920044441</v>
      </c>
      <c r="P52" s="6">
        <v>0.58639016383841069</v>
      </c>
      <c r="Q52" s="6">
        <v>0.47398121087612111</v>
      </c>
      <c r="R52" s="6">
        <v>0.5015285650430773</v>
      </c>
    </row>
    <row r="53" spans="10:18" x14ac:dyDescent="0.2">
      <c r="J53" s="1">
        <v>51</v>
      </c>
      <c r="K53" s="4">
        <v>102</v>
      </c>
      <c r="L53" s="4">
        <v>2</v>
      </c>
      <c r="M53" s="5">
        <v>8.1256819690280224</v>
      </c>
      <c r="N53" s="5">
        <f t="shared" si="0"/>
        <v>8.1378429106297432</v>
      </c>
      <c r="O53" s="6">
        <v>0.4310957607556305</v>
      </c>
      <c r="P53" s="6">
        <v>0.63133979370546145</v>
      </c>
      <c r="Q53" s="6">
        <v>0.51031117967778172</v>
      </c>
      <c r="R53" s="6">
        <v>0.55574941093105479</v>
      </c>
    </row>
    <row r="54" spans="10:18" x14ac:dyDescent="0.2">
      <c r="J54" s="1">
        <v>52</v>
      </c>
      <c r="K54" s="4">
        <v>104</v>
      </c>
      <c r="L54" s="4">
        <v>4</v>
      </c>
      <c r="M54" s="5">
        <v>9.4781057731176528</v>
      </c>
      <c r="N54" s="5">
        <f t="shared" si="0"/>
        <v>9.4894820162950069</v>
      </c>
      <c r="O54" s="6">
        <v>0.47214110105950752</v>
      </c>
      <c r="P54" s="6">
        <v>0.67422208742500656</v>
      </c>
      <c r="Q54" s="6">
        <v>0.54574429038735817</v>
      </c>
      <c r="R54" s="6">
        <v>0.60763573638663837</v>
      </c>
    </row>
    <row r="55" spans="10:18" x14ac:dyDescent="0.2">
      <c r="J55" s="1">
        <v>53</v>
      </c>
      <c r="K55" s="4">
        <v>106</v>
      </c>
      <c r="L55" s="4">
        <v>6</v>
      </c>
      <c r="M55" s="5">
        <v>10.925223211421688</v>
      </c>
      <c r="N55" s="5">
        <f t="shared" si="0"/>
        <v>10.935584394802987</v>
      </c>
      <c r="O55" s="6">
        <v>0.51194357001037283</v>
      </c>
      <c r="P55" s="6">
        <v>0.71442685310344722</v>
      </c>
      <c r="Q55" s="6">
        <v>0.58003327616356359</v>
      </c>
      <c r="R55" s="6">
        <v>0.65640850821905172</v>
      </c>
    </row>
    <row r="56" spans="10:18" x14ac:dyDescent="0.2">
      <c r="J56" s="1">
        <v>54</v>
      </c>
      <c r="K56" s="4">
        <v>108</v>
      </c>
      <c r="L56" s="4">
        <v>8</v>
      </c>
      <c r="M56" s="5">
        <v>12.458093759675656</v>
      </c>
      <c r="N56" s="5">
        <f t="shared" si="0"/>
        <v>12.467296157216609</v>
      </c>
      <c r="O56" s="6">
        <v>0.55024824743658363</v>
      </c>
      <c r="P56" s="6">
        <v>0.75150666801725119</v>
      </c>
      <c r="Q56" s="6">
        <v>0.61297130995238414</v>
      </c>
      <c r="R56" s="6">
        <v>0.70148913479160235</v>
      </c>
    </row>
    <row r="57" spans="10:18" x14ac:dyDescent="0.2">
      <c r="J57" s="1">
        <v>55</v>
      </c>
      <c r="K57" s="4">
        <v>110</v>
      </c>
      <c r="L57" s="4">
        <v>10</v>
      </c>
      <c r="M57" s="5">
        <v>14.067398697316614</v>
      </c>
      <c r="N57" s="5">
        <f t="shared" si="0"/>
        <v>14.075380149176652</v>
      </c>
      <c r="O57" s="6">
        <v>0.58684873828893591</v>
      </c>
      <c r="P57" s="6">
        <v>0.78517713011183032</v>
      </c>
      <c r="Q57" s="6">
        <v>0.64439241737360575</v>
      </c>
      <c r="R57" s="6">
        <v>0.74250102400598983</v>
      </c>
    </row>
    <row r="58" spans="10:18" x14ac:dyDescent="0.2">
      <c r="J58" s="1">
        <v>56</v>
      </c>
      <c r="K58" s="4">
        <v>112</v>
      </c>
      <c r="L58" s="4">
        <v>12</v>
      </c>
      <c r="M58" s="5">
        <v>15.743821655874514</v>
      </c>
      <c r="N58" s="5">
        <f t="shared" si="0"/>
        <v>15.750588470135213</v>
      </c>
      <c r="O58" s="6">
        <v>0.62158617892061474</v>
      </c>
      <c r="P58" s="6">
        <v>0.81530583411294988</v>
      </c>
      <c r="Q58" s="6">
        <v>0.67417050794410804</v>
      </c>
      <c r="R58" s="6">
        <v>0.77925699400451787</v>
      </c>
    </row>
    <row r="59" spans="10:18" x14ac:dyDescent="0.2">
      <c r="J59" s="1">
        <v>57</v>
      </c>
      <c r="K59" s="4">
        <v>114</v>
      </c>
      <c r="L59" s="4">
        <v>14</v>
      </c>
      <c r="M59" s="5">
        <v>17.478357978069599</v>
      </c>
      <c r="N59" s="5">
        <f t="shared" si="0"/>
        <v>17.483969057349725</v>
      </c>
      <c r="O59" s="6">
        <v>0.65434691113661669</v>
      </c>
      <c r="P59" s="6">
        <v>0.84189335521493158</v>
      </c>
      <c r="Q59" s="6">
        <v>0.70221729695399615</v>
      </c>
      <c r="R59" s="6">
        <v>0.81173647045117925</v>
      </c>
    </row>
    <row r="60" spans="10:18" x14ac:dyDescent="0.2">
      <c r="J60" s="1">
        <v>58</v>
      </c>
      <c r="K60" s="4">
        <v>116</v>
      </c>
      <c r="L60" s="4">
        <v>16</v>
      </c>
      <c r="M60" s="5">
        <v>19.262547813644169</v>
      </c>
      <c r="N60" s="5">
        <f t="shared" si="0"/>
        <v>19.267098798317889</v>
      </c>
      <c r="O60" s="6">
        <v>0.68505913709111188</v>
      </c>
      <c r="P60" s="6">
        <v>0.8650495021057536</v>
      </c>
      <c r="Q60" s="6">
        <v>0.72847939010710805</v>
      </c>
      <c r="R60" s="6">
        <v>0.84005649919718806</v>
      </c>
    </row>
    <row r="61" spans="10:18" x14ac:dyDescent="0.2">
      <c r="J61" s="1">
        <v>59</v>
      </c>
      <c r="K61" s="4">
        <v>118</v>
      </c>
      <c r="L61" s="4">
        <v>18</v>
      </c>
      <c r="M61" s="5">
        <v>21.088635223765468</v>
      </c>
      <c r="N61" s="5">
        <f t="shared" si="0"/>
        <v>21.092244136402059</v>
      </c>
      <c r="O61" s="6">
        <v>0.71368885589575537</v>
      </c>
      <c r="P61" s="6">
        <v>0.88496774192008687</v>
      </c>
      <c r="Q61" s="6">
        <v>0.75293478799002789</v>
      </c>
      <c r="R61" s="6">
        <v>0.86444022333162129</v>
      </c>
    </row>
    <row r="62" spans="10:18" x14ac:dyDescent="0.2">
      <c r="J62" s="1">
        <v>60</v>
      </c>
      <c r="K62" s="4">
        <v>120</v>
      </c>
      <c r="L62" s="4">
        <v>20</v>
      </c>
      <c r="M62" s="5">
        <v>22.949660748211301</v>
      </c>
      <c r="N62" s="5">
        <f t="shared" si="0"/>
        <v>22.952455889941064</v>
      </c>
      <c r="O62" s="6">
        <v>0.74023535688709818</v>
      </c>
      <c r="P62" s="6">
        <v>0.90190013818387538</v>
      </c>
      <c r="Q62" s="6">
        <v>0.77558904204410084</v>
      </c>
      <c r="R62" s="6">
        <v>0.88518579971034217</v>
      </c>
    </row>
    <row r="63" spans="10:18" x14ac:dyDescent="0.2">
      <c r="J63" s="1">
        <v>61</v>
      </c>
      <c r="K63" s="4">
        <v>122</v>
      </c>
      <c r="L63" s="4">
        <v>22</v>
      </c>
      <c r="M63" s="5">
        <v>24.839497975829232</v>
      </c>
      <c r="N63" s="5">
        <f t="shared" si="0"/>
        <v>24.841608373259191</v>
      </c>
      <c r="O63" s="6">
        <v>0.76472650963311162</v>
      </c>
      <c r="P63" s="6">
        <v>0.91613449856580942</v>
      </c>
      <c r="Q63" s="6">
        <v>0.79647126201520735</v>
      </c>
      <c r="R63" s="6">
        <v>0.90263792821495514</v>
      </c>
    </row>
    <row r="64" spans="10:18" x14ac:dyDescent="0.2">
      <c r="J64" s="1">
        <v>62</v>
      </c>
      <c r="K64" s="4">
        <v>124</v>
      </c>
      <c r="L64" s="4">
        <v>24</v>
      </c>
      <c r="M64" s="5">
        <v>26.752845947776809</v>
      </c>
      <c r="N64" s="5">
        <f t="shared" si="0"/>
        <v>26.754394347614507</v>
      </c>
      <c r="O64" s="6">
        <v>0.78721405116105536</v>
      </c>
      <c r="P64" s="6">
        <v>0.92797479664072879</v>
      </c>
      <c r="Q64" s="6">
        <v>0.8156301402372842</v>
      </c>
      <c r="R64" s="6">
        <v>0.91716336881723348</v>
      </c>
    </row>
    <row r="65" spans="10:18" x14ac:dyDescent="0.2">
      <c r="J65" s="1">
        <v>63</v>
      </c>
      <c r="K65" s="4">
        <v>126</v>
      </c>
      <c r="L65" s="4">
        <v>26</v>
      </c>
      <c r="M65" s="5">
        <v>28.685189128418195</v>
      </c>
      <c r="N65" s="5">
        <f t="shared" si="0"/>
        <v>28.686287333137415</v>
      </c>
      <c r="O65" s="6">
        <v>0.80776903004950096</v>
      </c>
      <c r="P65" s="6">
        <v>0.93772537587361038</v>
      </c>
      <c r="Q65" s="6">
        <v>0.83313012325041835</v>
      </c>
      <c r="R65" s="6">
        <v>0.92913111647347579</v>
      </c>
    </row>
    <row r="66" spans="10:18" x14ac:dyDescent="0.2">
      <c r="J66" s="1">
        <v>64</v>
      </c>
      <c r="K66" s="4">
        <v>128</v>
      </c>
      <c r="L66" s="4">
        <v>28</v>
      </c>
      <c r="M66" s="5">
        <v>30.632735636795058</v>
      </c>
      <c r="N66" s="5">
        <f t="shared" si="0"/>
        <v>30.633481847385454</v>
      </c>
      <c r="O66" s="6">
        <v>0.82647752761546722</v>
      </c>
      <c r="P66" s="6">
        <v>0.94567900087475043</v>
      </c>
      <c r="Q66" s="6">
        <v>0.84904782814675517</v>
      </c>
      <c r="R66" s="6">
        <v>0.93889734093035593</v>
      </c>
    </row>
    <row r="67" spans="10:18" x14ac:dyDescent="0.2">
      <c r="J67" s="1">
        <v>65</v>
      </c>
      <c r="K67" s="4">
        <v>130</v>
      </c>
      <c r="L67" s="4">
        <v>30</v>
      </c>
      <c r="M67" s="5">
        <v>32.592342839061018</v>
      </c>
      <c r="N67" s="5">
        <f t="shared" si="0"/>
        <v>32.59282060803946</v>
      </c>
      <c r="O67" s="6">
        <v>0.84343674031186211</v>
      </c>
      <c r="P67" s="6">
        <v>0.95210850242393086</v>
      </c>
      <c r="Q67" s="6">
        <v>0.86346877102414166</v>
      </c>
      <c r="R67" s="6">
        <v>0.94679479338202444</v>
      </c>
    </row>
    <row r="68" spans="10:18" x14ac:dyDescent="0.2">
      <c r="J68" s="1">
        <v>66</v>
      </c>
      <c r="K68" s="4">
        <v>132</v>
      </c>
      <c r="L68" s="4">
        <v>32</v>
      </c>
      <c r="M68" s="5">
        <v>34.561437582074426</v>
      </c>
      <c r="N68" s="5">
        <f t="shared" ref="N68:N102" si="1">CallOption(K68,$B$2,0,$B$1,$B$9,$C$9)</f>
        <v>34.561715969495623</v>
      </c>
      <c r="O68" s="6">
        <v>0.85875147578470512</v>
      </c>
      <c r="P68" s="6">
        <v>0.95726156248515182</v>
      </c>
      <c r="Q68" s="6">
        <v>0.87648444880875931</v>
      </c>
      <c r="R68" s="6">
        <v>0.95312612645721095</v>
      </c>
    </row>
    <row r="69" spans="10:18" x14ac:dyDescent="0.2">
      <c r="J69" s="1">
        <v>67</v>
      </c>
      <c r="K69" s="4">
        <v>134</v>
      </c>
      <c r="L69" s="4">
        <v>34</v>
      </c>
      <c r="M69" s="5">
        <v>36.537936537596181</v>
      </c>
      <c r="N69" s="5">
        <f t="shared" si="1"/>
        <v>36.538071091149845</v>
      </c>
      <c r="O69" s="6">
        <v>0.87253108838591631</v>
      </c>
      <c r="P69" s="6">
        <v>0.96135808582209947</v>
      </c>
      <c r="Q69" s="6">
        <v>0.88818979384183272</v>
      </c>
      <c r="R69" s="6">
        <v>0.95816044570960557</v>
      </c>
    </row>
    <row r="70" spans="10:18" x14ac:dyDescent="0.2">
      <c r="J70" s="1">
        <v>68</v>
      </c>
      <c r="K70" s="4">
        <v>136</v>
      </c>
      <c r="L70" s="4">
        <v>36</v>
      </c>
      <c r="M70" s="5">
        <v>38.520170480070419</v>
      </c>
      <c r="N70" s="5">
        <f t="shared" si="1"/>
        <v>38.520204713418394</v>
      </c>
      <c r="O70" s="6">
        <v>0.8848868584000843</v>
      </c>
      <c r="P70" s="6">
        <v>0.96458958302547593</v>
      </c>
      <c r="Q70" s="6">
        <v>0.89868100303110809</v>
      </c>
      <c r="R70" s="6">
        <v>0.962132380635358</v>
      </c>
    </row>
    <row r="71" spans="10:18" x14ac:dyDescent="0.2">
      <c r="J71" s="1">
        <v>69</v>
      </c>
      <c r="K71" s="4">
        <v>138</v>
      </c>
      <c r="L71" s="4">
        <v>38</v>
      </c>
      <c r="M71" s="5">
        <v>40.506814923799844</v>
      </c>
      <c r="N71" s="5">
        <f t="shared" si="1"/>
        <v>40.506782032316707</v>
      </c>
      <c r="O71" s="6">
        <v>0.89592980259786148</v>
      </c>
      <c r="P71" s="6">
        <v>0.96712002229387461</v>
      </c>
      <c r="Q71" s="6">
        <v>0.90805372982197941</v>
      </c>
      <c r="R71" s="6">
        <v>0.96524300162118915</v>
      </c>
    </row>
    <row r="72" spans="10:18" x14ac:dyDescent="0.2">
      <c r="J72" s="1">
        <v>70</v>
      </c>
      <c r="K72" s="4">
        <v>140</v>
      </c>
      <c r="L72" s="4">
        <v>40</v>
      </c>
      <c r="M72" s="5">
        <v>42.49682842891189</v>
      </c>
      <c r="N72" s="5">
        <f t="shared" si="1"/>
        <v>42.496753048744964</v>
      </c>
      <c r="O72" s="6">
        <v>0.90576889153379092</v>
      </c>
      <c r="P72" s="6">
        <v>0.96908767306858312</v>
      </c>
      <c r="Q72" s="6">
        <v>0.91640161736364001</v>
      </c>
      <c r="R72" s="6">
        <v>0.96766198961156136</v>
      </c>
    </row>
    <row r="73" spans="10:18" x14ac:dyDescent="0.2">
      <c r="J73" s="1">
        <v>71</v>
      </c>
      <c r="K73" s="4">
        <v>142</v>
      </c>
      <c r="L73" s="4">
        <v>42</v>
      </c>
      <c r="M73" s="5">
        <v>44.489399044106122</v>
      </c>
      <c r="N73" s="5">
        <f t="shared" si="1"/>
        <v>44.489298921859856</v>
      </c>
      <c r="O73" s="6">
        <v>0.9145096406984452</v>
      </c>
      <c r="P73" s="6">
        <v>0.97060754647060576</v>
      </c>
      <c r="Q73" s="6">
        <v>0.92381514455974445</v>
      </c>
      <c r="R73" s="6">
        <v>0.96953056617283795</v>
      </c>
    </row>
    <row r="74" spans="10:18" x14ac:dyDescent="0.2">
      <c r="J74" s="1">
        <v>72</v>
      </c>
      <c r="K74" s="4">
        <v>144</v>
      </c>
      <c r="L74" s="4">
        <v>44</v>
      </c>
      <c r="M74" s="5">
        <v>46.483898759219876</v>
      </c>
      <c r="N74" s="5">
        <f t="shared" si="1"/>
        <v>46.483786251463471</v>
      </c>
      <c r="O74" s="6">
        <v>0.92225303759807942</v>
      </c>
      <c r="P74" s="6">
        <v>0.97177412273191832</v>
      </c>
      <c r="Q74" s="6">
        <v>0.93038075269125875</v>
      </c>
      <c r="R74" s="6">
        <v>0.97096479711012207</v>
      </c>
    </row>
    <row r="75" spans="10:18" x14ac:dyDescent="0.2">
      <c r="J75" s="1">
        <v>73</v>
      </c>
      <c r="K75" s="4">
        <v>146</v>
      </c>
      <c r="L75" s="4">
        <v>46</v>
      </c>
      <c r="M75" s="5">
        <v>48.479845452155722</v>
      </c>
      <c r="N75" s="5">
        <f t="shared" si="1"/>
        <v>48.479728814687334</v>
      </c>
      <c r="O75" s="6">
        <v>0.929094764454379</v>
      </c>
      <c r="P75" s="6">
        <v>0.97266413595663981</v>
      </c>
      <c r="Q75" s="6">
        <v>0.93618021847473154</v>
      </c>
      <c r="R75" s="6">
        <v>0.97205898219468623</v>
      </c>
    </row>
    <row r="76" spans="10:18" x14ac:dyDescent="0.2">
      <c r="J76" s="1">
        <v>74</v>
      </c>
      <c r="K76" s="4">
        <v>148</v>
      </c>
      <c r="L76" s="4">
        <v>48</v>
      </c>
      <c r="M76" s="5">
        <v>50.476871589454099</v>
      </c>
      <c r="N76" s="5">
        <f t="shared" si="1"/>
        <v>50.47675604594555</v>
      </c>
      <c r="O76" s="6">
        <v>0.93512467591302639</v>
      </c>
      <c r="P76" s="6">
        <v>0.97333925663866683</v>
      </c>
      <c r="Q76" s="6">
        <v>0.94129023929565336</v>
      </c>
      <c r="R76" s="6">
        <v>0.9728889306497196</v>
      </c>
    </row>
    <row r="77" spans="10:18" x14ac:dyDescent="0.2">
      <c r="J77" s="1">
        <v>75</v>
      </c>
      <c r="K77" s="4">
        <v>150</v>
      </c>
      <c r="L77" s="4">
        <v>50</v>
      </c>
      <c r="M77" s="5">
        <v>52.474698836647363</v>
      </c>
      <c r="N77" s="5">
        <f t="shared" si="1"/>
        <v>52.474587436175227</v>
      </c>
      <c r="O77" s="6">
        <v>0.94042649240117082</v>
      </c>
      <c r="P77" s="6">
        <v>0.97384857017798399</v>
      </c>
      <c r="Q77" s="6">
        <v>0.94578219750482473</v>
      </c>
      <c r="R77" s="6">
        <v>0.97351499399391939</v>
      </c>
    </row>
    <row r="78" spans="10:18" x14ac:dyDescent="0.2">
      <c r="J78" s="1">
        <v>76</v>
      </c>
      <c r="K78" s="4">
        <v>152</v>
      </c>
      <c r="L78" s="4">
        <v>52</v>
      </c>
      <c r="M78" s="5">
        <v>54.473117717500713</v>
      </c>
      <c r="N78" s="5">
        <f t="shared" si="1"/>
        <v>54.473012002326854</v>
      </c>
      <c r="O78" s="6">
        <v>0.94507767212809701</v>
      </c>
      <c r="P78" s="6">
        <v>0.97423079488124431</v>
      </c>
      <c r="Q78" s="6">
        <v>0.94972207271330467</v>
      </c>
      <c r="R78" s="6">
        <v>0.97398478423851376</v>
      </c>
    </row>
    <row r="79" spans="10:18" x14ac:dyDescent="0.2">
      <c r="J79" s="1">
        <v>77</v>
      </c>
      <c r="K79" s="4">
        <v>154</v>
      </c>
      <c r="L79" s="4">
        <v>54</v>
      </c>
      <c r="M79" s="5">
        <v>56.471971500766628</v>
      </c>
      <c r="N79" s="5">
        <f t="shared" si="1"/>
        <v>56.471872011486965</v>
      </c>
      <c r="O79" s="6">
        <v>0.94914942780087608</v>
      </c>
      <c r="P79" s="6">
        <v>0.97451621652969889</v>
      </c>
      <c r="Q79" s="6">
        <v>0.95317047365585461</v>
      </c>
      <c r="R79" s="6">
        <v>0.97433554738940809</v>
      </c>
    </row>
    <row r="80" spans="10:18" x14ac:dyDescent="0.2">
      <c r="J80" s="1">
        <v>78</v>
      </c>
      <c r="K80" s="4">
        <v>156</v>
      </c>
      <c r="L80" s="4">
        <v>56</v>
      </c>
      <c r="M80" s="5">
        <v>58.471143566163377</v>
      </c>
      <c r="N80" s="5">
        <f t="shared" si="1"/>
        <v>58.47105021279279</v>
      </c>
      <c r="O80" s="6">
        <v>0.95270685761914087</v>
      </c>
      <c r="P80" s="6">
        <v>0.97472834014183207</v>
      </c>
      <c r="Q80" s="6">
        <v>0.95618276415958947</v>
      </c>
      <c r="R80" s="6">
        <v>0.9745961916770739</v>
      </c>
    </row>
    <row r="81" spans="10:18" x14ac:dyDescent="0.2">
      <c r="J81" s="1">
        <v>79</v>
      </c>
      <c r="K81" s="4">
        <v>158</v>
      </c>
      <c r="L81" s="4">
        <v>58</v>
      </c>
      <c r="M81" s="5">
        <v>60.470547590978313</v>
      </c>
      <c r="N81" s="5">
        <f t="shared" si="1"/>
        <v>60.470459917199321</v>
      </c>
      <c r="O81" s="6">
        <v>0.95580916377788749</v>
      </c>
      <c r="P81" s="6">
        <v>0.97488527490146204</v>
      </c>
      <c r="Q81" s="6">
        <v>0.95880926085394125</v>
      </c>
      <c r="R81" s="6">
        <v>0.97478898920869983</v>
      </c>
    </row>
    <row r="82" spans="10:18" x14ac:dyDescent="0.2">
      <c r="J82" s="1">
        <v>80</v>
      </c>
      <c r="K82" s="4">
        <v>160</v>
      </c>
      <c r="L82" s="4">
        <v>60</v>
      </c>
      <c r="M82" s="5">
        <v>62.470119993159727</v>
      </c>
      <c r="N82" s="5">
        <f t="shared" si="1"/>
        <v>62.470037358028833</v>
      </c>
      <c r="O82" s="6">
        <v>0.95850993536064277</v>
      </c>
      <c r="P82" s="6">
        <v>0.97500087720468664</v>
      </c>
      <c r="Q82" s="6">
        <v>0.96109548333865735</v>
      </c>
      <c r="R82" s="6">
        <v>0.97493098108756615</v>
      </c>
    </row>
    <row r="83" spans="10:18" x14ac:dyDescent="0.2">
      <c r="J83" s="1">
        <v>81</v>
      </c>
      <c r="K83" s="4">
        <v>162</v>
      </c>
      <c r="L83" s="4">
        <v>62</v>
      </c>
      <c r="M83" s="5">
        <v>64.469814158279348</v>
      </c>
      <c r="N83" s="5">
        <f t="shared" si="1"/>
        <v>64.469735856025423</v>
      </c>
      <c r="O83" s="6">
        <v>0.9608574760143237</v>
      </c>
      <c r="P83" s="6">
        <v>0.97508568106656512</v>
      </c>
      <c r="Q83" s="6">
        <v>0.96308244047890024</v>
      </c>
      <c r="R83" s="6">
        <v>0.97503512153912097</v>
      </c>
    </row>
    <row r="84" spans="10:18" x14ac:dyDescent="0.2">
      <c r="J84" s="1">
        <v>82</v>
      </c>
      <c r="K84" s="4">
        <v>164</v>
      </c>
      <c r="L84" s="4">
        <v>64</v>
      </c>
      <c r="M84" s="5">
        <v>66.469596061731124</v>
      </c>
      <c r="N84" s="5">
        <f t="shared" si="1"/>
        <v>66.469521396489284</v>
      </c>
      <c r="O84" s="6">
        <v>0.96289516007075915</v>
      </c>
      <c r="P84" s="6">
        <v>0.97514764613189819</v>
      </c>
      <c r="Q84" s="6">
        <v>0.96480693924606931</v>
      </c>
      <c r="R84" s="6">
        <v>0.97511119797412971</v>
      </c>
    </row>
    <row r="85" spans="10:18" x14ac:dyDescent="0.2">
      <c r="J85" s="1">
        <v>83</v>
      </c>
      <c r="K85" s="4">
        <v>166</v>
      </c>
      <c r="L85" s="4">
        <v>66</v>
      </c>
      <c r="M85" s="5">
        <v>68.469440971662621</v>
      </c>
      <c r="N85" s="5">
        <f t="shared" si="1"/>
        <v>68.469369300429165</v>
      </c>
      <c r="O85" s="6">
        <v>0.96466180376156896</v>
      </c>
      <c r="P85" s="6">
        <v>0.97519275238690528</v>
      </c>
      <c r="Q85" s="6">
        <v>0.96630190502364199</v>
      </c>
      <c r="R85" s="6">
        <v>0.97516656261524703</v>
      </c>
    </row>
    <row r="86" spans="10:18" x14ac:dyDescent="0.2">
      <c r="J86" s="1">
        <v>84</v>
      </c>
      <c r="K86" s="4">
        <v>168</v>
      </c>
      <c r="L86" s="4">
        <v>68</v>
      </c>
      <c r="M86" s="5">
        <v>70.469330981649861</v>
      </c>
      <c r="N86" s="5">
        <f t="shared" si="1"/>
        <v>70.46926173561684</v>
      </c>
      <c r="O86" s="6">
        <v>0.96619204083332966</v>
      </c>
      <c r="P86" s="6">
        <v>0.97522546823708678</v>
      </c>
      <c r="Q86" s="6">
        <v>0.96759670452541435</v>
      </c>
      <c r="R86" s="6">
        <v>0.97520670839378476</v>
      </c>
    </row>
    <row r="87" spans="10:18" x14ac:dyDescent="0.2">
      <c r="J87" s="1">
        <v>85</v>
      </c>
      <c r="K87" s="4">
        <v>170</v>
      </c>
      <c r="L87" s="4">
        <v>70</v>
      </c>
      <c r="M87" s="5">
        <v>72.469253175266417</v>
      </c>
      <c r="N87" s="5">
        <f t="shared" si="1"/>
        <v>72.469185867075353</v>
      </c>
      <c r="O87" s="6">
        <v>0.96751669419971142</v>
      </c>
      <c r="P87" s="6">
        <v>0.9752491155341767</v>
      </c>
      <c r="Q87" s="6">
        <v>0.9687174644223574</v>
      </c>
      <c r="R87" s="6">
        <v>0.9752357180773531</v>
      </c>
    </row>
    <row r="88" spans="10:18" x14ac:dyDescent="0.2">
      <c r="J88" s="1">
        <v>86</v>
      </c>
      <c r="K88" s="4">
        <v>172</v>
      </c>
      <c r="L88" s="4">
        <v>72</v>
      </c>
      <c r="M88" s="5">
        <v>74.469198268289688</v>
      </c>
      <c r="N88" s="5">
        <f t="shared" si="1"/>
        <v>74.469132490638046</v>
      </c>
      <c r="O88" s="6">
        <v>0.9686631372727047</v>
      </c>
      <c r="P88" s="6">
        <v>0.97526615184101006</v>
      </c>
      <c r="Q88" s="6">
        <v>0.96968738044973268</v>
      </c>
      <c r="R88" s="6">
        <v>0.97525661156465282</v>
      </c>
    </row>
    <row r="89" spans="10:18" x14ac:dyDescent="0.2">
      <c r="J89" s="1">
        <v>87</v>
      </c>
      <c r="K89" s="4">
        <v>174</v>
      </c>
      <c r="L89" s="4">
        <v>74</v>
      </c>
      <c r="M89" s="5">
        <v>76.469159609458984</v>
      </c>
      <c r="N89" s="5">
        <f t="shared" si="1"/>
        <v>76.469095028854667</v>
      </c>
      <c r="O89" s="6">
        <v>0.9696556403128388</v>
      </c>
      <c r="P89" s="6">
        <v>0.9752783870037931</v>
      </c>
      <c r="Q89" s="6">
        <v>0.97052701318267587</v>
      </c>
      <c r="R89" s="6">
        <v>0.97527161233930559</v>
      </c>
    </row>
    <row r="90" spans="10:18" x14ac:dyDescent="0.2">
      <c r="J90" s="1">
        <v>88</v>
      </c>
      <c r="K90" s="4">
        <v>176</v>
      </c>
      <c r="L90" s="4">
        <v>76</v>
      </c>
      <c r="M90" s="5">
        <v>78.469132448669782</v>
      </c>
      <c r="N90" s="5">
        <f t="shared" si="1"/>
        <v>78.469068796896181</v>
      </c>
      <c r="O90" s="6">
        <v>0.97051569855200592</v>
      </c>
      <c r="P90" s="6">
        <v>0.97528714812810535</v>
      </c>
      <c r="Q90" s="6">
        <v>0.97125456784633379</v>
      </c>
      <c r="R90" s="6">
        <v>0.97528235042538669</v>
      </c>
    </row>
    <row r="91" spans="10:18" x14ac:dyDescent="0.2">
      <c r="J91" s="1">
        <v>89</v>
      </c>
      <c r="K91" s="4">
        <v>178</v>
      </c>
      <c r="L91" s="4">
        <v>78</v>
      </c>
      <c r="M91" s="5">
        <v>80.469113403455836</v>
      </c>
      <c r="N91" s="5">
        <f t="shared" si="1"/>
        <v>80.469050468410956</v>
      </c>
      <c r="O91" s="6">
        <v>0.97126233999966838</v>
      </c>
      <c r="P91" s="6">
        <v>0.97529340441664425</v>
      </c>
      <c r="Q91" s="6">
        <v>0.97188615648925047</v>
      </c>
      <c r="R91" s="6">
        <v>0.97529001594532871</v>
      </c>
    </row>
    <row r="92" spans="10:18" x14ac:dyDescent="0.2">
      <c r="J92" s="1">
        <v>90</v>
      </c>
      <c r="K92" s="4">
        <v>180</v>
      </c>
      <c r="L92" s="4">
        <v>80</v>
      </c>
      <c r="M92" s="5">
        <v>82.469100071669857</v>
      </c>
      <c r="N92" s="5">
        <f t="shared" si="1"/>
        <v>82.469037688609603</v>
      </c>
      <c r="O92" s="6">
        <v>0.97191241177311205</v>
      </c>
      <c r="P92" s="6">
        <v>0.97529786105519078</v>
      </c>
      <c r="Q92" s="6">
        <v>0.97243604162081776</v>
      </c>
      <c r="R92" s="6">
        <v>0.97529547458740795</v>
      </c>
    </row>
    <row r="93" spans="10:18" x14ac:dyDescent="0.2">
      <c r="J93" s="1">
        <v>91</v>
      </c>
      <c r="K93" s="4">
        <v>182</v>
      </c>
      <c r="L93" s="4">
        <v>82</v>
      </c>
      <c r="M93" s="5">
        <v>84.469090751390709</v>
      </c>
      <c r="N93" s="5">
        <f t="shared" si="1"/>
        <v>84.469028795177735</v>
      </c>
      <c r="O93" s="6">
        <v>0.97248084452442041</v>
      </c>
      <c r="P93" s="6">
        <v>0.9753010294238954</v>
      </c>
      <c r="Q93" s="6">
        <v>0.97291686102006059</v>
      </c>
      <c r="R93" s="6">
        <v>0.97529935394066525</v>
      </c>
    </row>
    <row r="94" spans="10:18" x14ac:dyDescent="0.2">
      <c r="J94" s="1">
        <v>92</v>
      </c>
      <c r="K94" s="4">
        <v>184</v>
      </c>
      <c r="L94" s="4">
        <v>84</v>
      </c>
      <c r="M94" s="5">
        <v>86.469084239079962</v>
      </c>
      <c r="N94" s="5">
        <f t="shared" si="1"/>
        <v>86.469022617765759</v>
      </c>
      <c r="O94" s="6">
        <v>0.97298089509929331</v>
      </c>
      <c r="P94" s="6">
        <v>0.97530327933736904</v>
      </c>
      <c r="Q94" s="6">
        <v>0.97333983388769008</v>
      </c>
      <c r="R94" s="6">
        <v>0.97530210771822046</v>
      </c>
    </row>
    <row r="95" spans="10:18" x14ac:dyDescent="0.2">
      <c r="J95" s="1">
        <v>93</v>
      </c>
      <c r="K95" s="4">
        <v>186</v>
      </c>
      <c r="L95" s="4">
        <v>86</v>
      </c>
      <c r="M95" s="5">
        <v>88.469079684563596</v>
      </c>
      <c r="N95" s="5">
        <f t="shared" si="1"/>
        <v>88.469018334470903</v>
      </c>
      <c r="O95" s="6">
        <v>0.97342436798225529</v>
      </c>
      <c r="P95" s="6">
        <v>0.97530487774163355</v>
      </c>
      <c r="Q95" s="6">
        <v>0.97371494885853638</v>
      </c>
      <c r="R95" s="6">
        <v>0.97530406331970532</v>
      </c>
    </row>
    <row r="96" spans="10:18" x14ac:dyDescent="0.2">
      <c r="J96" s="1">
        <v>94</v>
      </c>
      <c r="K96" s="4">
        <v>188</v>
      </c>
      <c r="L96" s="4">
        <v>88</v>
      </c>
      <c r="M96" s="5">
        <v>90.469076487080002</v>
      </c>
      <c r="N96" s="5">
        <f t="shared" si="1"/>
        <v>90.469015369474533</v>
      </c>
      <c r="O96" s="6">
        <v>0.9738218163833795</v>
      </c>
      <c r="P96" s="6">
        <v>0.97530601727703858</v>
      </c>
      <c r="Q96" s="6">
        <v>0.97405113463751025</v>
      </c>
      <c r="R96" s="6">
        <v>0.97530545692892701</v>
      </c>
    </row>
    <row r="97" spans="10:18" x14ac:dyDescent="0.2">
      <c r="J97" s="1">
        <v>95</v>
      </c>
      <c r="K97" s="4">
        <v>190</v>
      </c>
      <c r="L97" s="4">
        <v>90</v>
      </c>
      <c r="M97" s="5">
        <v>92.469074220853841</v>
      </c>
      <c r="N97" s="5">
        <f t="shared" si="1"/>
        <v>92.469013320276034</v>
      </c>
      <c r="O97" s="6">
        <v>0.97418272402508543</v>
      </c>
      <c r="P97" s="6">
        <v>0.97530683731249046</v>
      </c>
      <c r="Q97" s="6">
        <v>0.97435641418732211</v>
      </c>
      <c r="R97" s="6">
        <v>0.97530645935317217</v>
      </c>
    </row>
    <row r="98" spans="10:18" x14ac:dyDescent="0.2">
      <c r="J98" s="1">
        <v>96</v>
      </c>
      <c r="K98" s="4">
        <v>192</v>
      </c>
      <c r="L98" s="4">
        <v>92</v>
      </c>
      <c r="M98" s="5">
        <v>94.469072581776089</v>
      </c>
      <c r="N98" s="5">
        <f t="shared" si="1"/>
        <v>94.469011906128031</v>
      </c>
      <c r="O98" s="6">
        <v>0.97451566881289886</v>
      </c>
      <c r="P98" s="6">
        <v>0.97530743942949438</v>
      </c>
      <c r="Q98" s="6">
        <v>0.97463804349630645</v>
      </c>
      <c r="R98" s="6">
        <v>0.97530719503871965</v>
      </c>
    </row>
    <row r="99" spans="10:18" x14ac:dyDescent="0.2">
      <c r="J99" s="1">
        <v>97</v>
      </c>
      <c r="K99" s="4">
        <v>194</v>
      </c>
      <c r="L99" s="4">
        <v>94</v>
      </c>
      <c r="M99" s="5">
        <v>96.46907134906472</v>
      </c>
      <c r="N99" s="5">
        <f t="shared" si="1"/>
        <v>96.46901093160433</v>
      </c>
      <c r="O99" s="6">
        <v>0.974828469637808</v>
      </c>
      <c r="P99" s="6">
        <v>0.97530789885068137</v>
      </c>
      <c r="Q99" s="6">
        <v>0.97490263600366334</v>
      </c>
      <c r="R99" s="6">
        <v>0.97530775610143772</v>
      </c>
    </row>
    <row r="100" spans="10:18" x14ac:dyDescent="0.2">
      <c r="J100" s="1">
        <v>98</v>
      </c>
      <c r="K100" s="4">
        <v>196</v>
      </c>
      <c r="L100" s="4">
        <v>96</v>
      </c>
      <c r="M100" s="5">
        <v>98.469070357455038</v>
      </c>
      <c r="N100" s="5">
        <f t="shared" si="1"/>
        <v>98.469010260931171</v>
      </c>
      <c r="O100" s="6">
        <v>0.9751283175740918</v>
      </c>
      <c r="P100" s="6">
        <v>0.97530827293761124</v>
      </c>
      <c r="Q100" s="6">
        <v>0.97515627376903635</v>
      </c>
      <c r="R100" s="6">
        <v>0.97530821275599466</v>
      </c>
    </row>
    <row r="101" spans="10:18" x14ac:dyDescent="0.2">
      <c r="J101" s="1">
        <v>99</v>
      </c>
      <c r="K101" s="4">
        <v>198</v>
      </c>
      <c r="L101" s="4">
        <v>98</v>
      </c>
      <c r="M101" s="5">
        <v>100.46906947668487</v>
      </c>
      <c r="N101" s="5">
        <f t="shared" si="1"/>
        <v>100.46900979994984</v>
      </c>
      <c r="O101" s="6">
        <v>0.97542189271707802</v>
      </c>
      <c r="P101" s="6">
        <v>0.97530860760239846</v>
      </c>
      <c r="Q101" s="6">
        <v>0.97540460645350413</v>
      </c>
      <c r="R101" s="6">
        <v>0.97530862118227968</v>
      </c>
    </row>
    <row r="102" spans="10:18" x14ac:dyDescent="0.2">
      <c r="J102" s="1">
        <v>100</v>
      </c>
      <c r="K102" s="1">
        <v>200</v>
      </c>
      <c r="L102" s="1">
        <v>100</v>
      </c>
      <c r="M102" s="1">
        <v>102.46906859591469</v>
      </c>
      <c r="N102" s="5">
        <f t="shared" si="1"/>
        <v>102.46900948347353</v>
      </c>
      <c r="O102" s="1">
        <v>0.97530894226718567</v>
      </c>
      <c r="P102" s="1">
        <v>0.97571546786006425</v>
      </c>
    </row>
    <row r="103" spans="10:18" x14ac:dyDescent="0.2">
      <c r="N103" s="5"/>
    </row>
  </sheetData>
  <mergeCells count="1">
    <mergeCell ref="S1:U5"/>
  </mergeCells>
  <phoneticPr fontId="2" type="noConversion"/>
  <dataValidations xWindow="198" yWindow="280" count="1">
    <dataValidation type="list" allowBlank="1" showInputMessage="1" showErrorMessage="1" sqref="A9">
      <formula1>"Digital Call,Digital Put,Call,Put"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Delta Hedging</vt:lpstr>
      <vt:lpstr>Hedging P&amp;L</vt:lpstr>
      <vt:lpstr>Uncertain Vol.</vt:lpstr>
      <vt:lpstr>UVM Binary</vt:lpstr>
      <vt:lpstr>D_0</vt:lpstr>
      <vt:lpstr>dt</vt:lpstr>
      <vt:lpstr>E</vt:lpstr>
      <vt:lpstr>int</vt:lpstr>
      <vt:lpstr>S_0</vt:lpstr>
      <vt:lpstr>T</vt:lpstr>
      <vt:lpstr>V_0</vt:lpstr>
      <vt:lpstr>Va</vt:lpstr>
      <vt:lpstr>Vi</vt:lpstr>
    </vt:vector>
  </TitlesOfParts>
  <Company>7city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CQF</dc:creator>
  <cp:lastModifiedBy>Dr Richard Diamond</cp:lastModifiedBy>
  <cp:lastPrinted>2009-11-06T16:10:01Z</cp:lastPrinted>
  <dcterms:created xsi:type="dcterms:W3CDTF">2007-05-28T17:38:06Z</dcterms:created>
  <dcterms:modified xsi:type="dcterms:W3CDTF">2015-03-18T01:56:46Z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-909374591</vt:i4>
  </property>
  <property fmtid="{D5CDD505-2E9C-101B-9397-08002B2CF9AE}" pid="3" name="_NewReviewCycle">
    <vt:lpwstr/>
  </property>
  <property fmtid="{D5CDD505-2E9C-101B-9397-08002B2CF9AE}" pid="4" name="_EmailSubject">
    <vt:lpwstr>CQF Lecture Monday 21st March - Understanding Volatility</vt:lpwstr>
  </property>
  <property fmtid="{D5CDD505-2E9C-101B-9397-08002B2CF9AE}" pid="5" name="_AuthorEmail">
    <vt:lpwstr>Elise.Goss@fitchlearning.com</vt:lpwstr>
  </property>
  <property fmtid="{D5CDD505-2E9C-101B-9397-08002B2CF9AE}" pid="6" name="_AuthorEmailDisplayName">
    <vt:lpwstr>Elise Goss</vt:lpwstr>
  </property>
  <property fmtid="{D5CDD505-2E9C-101B-9397-08002B2CF9AE}" pid="7" name="_PreviousAdHocReviewCycleID">
    <vt:i4>-895191373</vt:i4>
  </property>
</Properties>
</file>